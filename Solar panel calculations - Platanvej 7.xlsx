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 &amp; price" sheetId="1" r:id="rId5"/>
    <sheet state="visible" name="All of 2025 Payback time" sheetId="2" r:id="rId6"/>
    <sheet state="visible" name="2025 CO2 savings" sheetId="3" r:id="rId7"/>
    <sheet state="visible" name="2025 without elafgift" sheetId="4" r:id="rId8"/>
    <sheet state="visible" name="Chart1 Monthly Production vs. C" sheetId="5" r:id="rId9"/>
    <sheet state="visible" name="(OLD)" sheetId="6" r:id="rId10"/>
  </sheets>
  <definedNames/>
  <calcPr/>
</workbook>
</file>

<file path=xl/sharedStrings.xml><?xml version="1.0" encoding="utf-8"?>
<sst xmlns="http://schemas.openxmlformats.org/spreadsheetml/2006/main" count="247" uniqueCount="106">
  <si>
    <t>Product/service</t>
  </si>
  <si>
    <t>Type</t>
  </si>
  <si>
    <t>Price</t>
  </si>
  <si>
    <t>Solar panels</t>
  </si>
  <si>
    <t>Inverter</t>
  </si>
  <si>
    <t>Battery</t>
  </si>
  <si>
    <t>Mounting kit</t>
  </si>
  <si>
    <t>Setup &amp; installation</t>
  </si>
  <si>
    <t>Interest rate for loan</t>
  </si>
  <si>
    <t>Total</t>
  </si>
  <si>
    <t>PRODUCTION (kWh)</t>
  </si>
  <si>
    <t>CONSUMPTION (kWh)</t>
  </si>
  <si>
    <t>COST</t>
  </si>
  <si>
    <t>BETTER USE OF SETUP V1</t>
  </si>
  <si>
    <t>BETTER USE OF SETUP V2</t>
  </si>
  <si>
    <t>Production</t>
  </si>
  <si>
    <t>Electricity used directly</t>
  </si>
  <si>
    <t>Sent to grid (Sold)</t>
  </si>
  <si>
    <t>Sent to battery</t>
  </si>
  <si>
    <t>Consumption</t>
  </si>
  <si>
    <t>Used by battery</t>
  </si>
  <si>
    <t>Total electricity used from own production</t>
  </si>
  <si>
    <t>Used directly from grid (ie not through battery)</t>
  </si>
  <si>
    <t>Used from grid</t>
  </si>
  <si>
    <t>EV charged</t>
  </si>
  <si>
    <t>Usage without EV</t>
  </si>
  <si>
    <t>kr/kWh</t>
  </si>
  <si>
    <t>Paid</t>
  </si>
  <si>
    <t>Saved</t>
  </si>
  <si>
    <t>Earnings from the grid</t>
  </si>
  <si>
    <t>Potential kWh avoided from grid</t>
  </si>
  <si>
    <t>Assumption for month</t>
  </si>
  <si>
    <t>Potential savings</t>
  </si>
  <si>
    <t>Potential savings per kWh (assumption: half the average price)</t>
  </si>
  <si>
    <t>Amount of kWh to charge through arbitrage</t>
  </si>
  <si>
    <t>January</t>
  </si>
  <si>
    <t>Could have used all we generated</t>
  </si>
  <si>
    <t>February</t>
  </si>
  <si>
    <t>March</t>
  </si>
  <si>
    <t>Could have used 50% of what we sent to grid</t>
  </si>
  <si>
    <t>April</t>
  </si>
  <si>
    <t>Would have been self supplying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</si>
  <si>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</si>
  <si>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</si>
  <si>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</si>
  <si>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</si>
  <si>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</si>
  <si>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</si>
  <si>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</si>
  <si>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</si>
  <si>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The difference may be the battery that has taken from the grid</t>
  </si>
  <si>
    <t>Total price for setup</t>
  </si>
  <si>
    <t>Payback time</t>
  </si>
  <si>
    <t>With improved use of setup</t>
  </si>
  <si>
    <t>With better energy arbitrage</t>
  </si>
  <si>
    <t>OWN PRODUCTION</t>
  </si>
  <si>
    <t>OWN CONSUMPTION</t>
  </si>
  <si>
    <t>GAS VS HEATPUMP</t>
  </si>
  <si>
    <t>Used directly</t>
  </si>
  <si>
    <t>Non-EV kWh consumptiom</t>
  </si>
  <si>
    <t>Avr CO2/kWh</t>
  </si>
  <si>
    <t>Kg CO2 saved ent production</t>
  </si>
  <si>
    <t>CO2 saved in own use</t>
  </si>
  <si>
    <t>CO2 saved in sent to grid</t>
  </si>
  <si>
    <t>Emissions from grid</t>
  </si>
  <si>
    <t>Emissions if all was from grid</t>
  </si>
  <si>
    <t>Heat pump active</t>
  </si>
  <si>
    <t>Estimated kWh use</t>
  </si>
  <si>
    <t>Estimated CO2 from heat pump</t>
  </si>
  <si>
    <t>Gas boiler kWh use</t>
  </si>
  <si>
    <t>x</t>
  </si>
  <si>
    <t>https://www.nowtricity.com/country/denmark/</t>
  </si>
  <si>
    <t>Tilbagebetalingstid ved optimalt brug af setup</t>
  </si>
  <si>
    <t>If we were able to use all electricity produced</t>
  </si>
  <si>
    <t>Monthly savings</t>
  </si>
  <si>
    <t>Grid (Sold)</t>
  </si>
  <si>
    <t>Taken from grid (Solarman - not accurate)</t>
  </si>
  <si>
    <t>Price paid per kWh</t>
  </si>
  <si>
    <t>NO ELAFGIFT NEW PRICE PR KWH</t>
  </si>
  <si>
    <t>PRICE</t>
  </si>
  <si>
    <t>Pris hvis ikke vi havde solceller</t>
  </si>
  <si>
    <t>Indtjening fra elnettet</t>
  </si>
  <si>
    <t>Totalt sparet</t>
  </si>
  <si>
    <t>Reduktion i elafgift pr kWh</t>
  </si>
  <si>
    <t>I alt elafgift</t>
  </si>
  <si>
    <t>Solgt til elnettet</t>
  </si>
  <si>
    <t>Hvis vi kunne have udnyttet kapaciteten bedre (brugt 40% af den strøm vi har solgt til elnettet og undgået at købe strøm på de tidspunkter)</t>
  </si>
  <si>
    <t>Antagelse</t>
  </si>
  <si>
    <t>Vi kunne have sparet 0,5 kr. pr importeret kWh</t>
  </si>
  <si>
    <t>Vi kunne have undgået al import af strøm (men til gengæld også kun eksporteret halvt så meget)</t>
  </si>
  <si>
    <t>Vi kunne have undgået 70% + sparet resten ved at lade batteriet når strømmen var billig</t>
  </si>
  <si>
    <t>Vi kunne have undgået 50% + sparet resten ved at lade batteriet når strømmen var billig</t>
  </si>
  <si>
    <t>Average</t>
  </si>
  <si>
    <t>kWh</t>
  </si>
  <si>
    <t>ASSUMPTION: We would have paid approx 25 øre more per kWh due to not being able to spend electricity from the battery in high demand times</t>
  </si>
  <si>
    <t>Month</t>
  </si>
  <si>
    <t>Sold</t>
  </si>
  <si>
    <t>Electricity from grid</t>
  </si>
  <si>
    <t>Difference SM/Watts</t>
  </si>
  <si>
    <t>Average market price electricity</t>
  </si>
  <si>
    <t>Acutal price</t>
  </si>
  <si>
    <t>Reel pris b.energy</t>
  </si>
  <si>
    <t>år</t>
  </si>
  <si>
    <t>Projected yearly savings</t>
  </si>
  <si>
    <t>Projected payback time</t>
  </si>
  <si>
    <t>extra per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</si>
</sst>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[$ kr.]"/>
    <numFmt numFmtId="165" formatCode="#,##0.00[$ kr.]"/>
    <numFmt numFmtId="166" formatCode="0.0"/>
    <numFmt numFmtId="167" formatCode="#,##0.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/>
    <font>
      <sz val="6.0"/>
      <color theme="1"/>
      <name val="Arial"/>
      <scheme val="minor"/>
    </font>
    <font>
      <b/>
      <sz val="6.0"/>
      <color theme="1"/>
      <name val="Arial"/>
      <scheme val="minor"/>
    </font>
    <font>
      <b/>
      <sz val="13.0"/>
      <color theme="1"/>
      <name val="Arial"/>
      <scheme val="minor"/>
    </font>
    <font>
      <i/>
      <sz val="6.0"/>
      <color theme="1"/>
      <name val="Arial"/>
      <scheme val="minor"/>
    </font>
    <font>
      <b/>
      <i/>
      <color theme="1"/>
      <name val="Arial"/>
      <scheme val="minor"/>
    </font>
    <font>
      <b/>
      <sz val="16.0"/>
      <color theme="1"/>
      <name val="Arial"/>
      <scheme val="minor"/>
    </font>
    <font>
      <u/>
      <color rgb="FF0000FF"/>
    </font>
    <font>
      <sz val="7.0"/>
      <color theme="1"/>
      <name val="Arial"/>
      <scheme val="minor"/>
    </font>
    <font>
      <b/>
      <sz val="7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1" numFmtId="0" xfId="0" applyFont="1"/>
    <xf borderId="0" fillId="0" fontId="1" numFmtId="164" xfId="0" applyFont="1" applyNumberFormat="1"/>
    <xf borderId="1" fillId="0" fontId="1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4" fillId="2" fontId="2" numFmtId="0" xfId="0" applyAlignment="1" applyBorder="1" applyFill="1" applyFont="1">
      <alignment readingOrder="0"/>
    </xf>
    <xf borderId="4" fillId="3" fontId="2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5" fillId="0" fontId="2" numFmtId="0" xfId="0" applyBorder="1" applyFont="1"/>
    <xf borderId="4" fillId="0" fontId="2" numFmtId="165" xfId="0" applyAlignment="1" applyBorder="1" applyFont="1" applyNumberFormat="1">
      <alignment readingOrder="0"/>
    </xf>
    <xf borderId="5" fillId="0" fontId="2" numFmtId="164" xfId="0" applyBorder="1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  <xf borderId="4" fillId="0" fontId="2" numFmtId="165" xfId="0" applyAlignment="1" applyBorder="1" applyFont="1" applyNumberFormat="1">
      <alignment readingOrder="0"/>
    </xf>
    <xf borderId="5" fillId="0" fontId="2" numFmtId="164" xfId="0" applyAlignment="1" applyBorder="1" applyFont="1" applyNumberFormat="1">
      <alignment readingOrder="0"/>
    </xf>
    <xf borderId="0" fillId="0" fontId="2" numFmtId="165" xfId="0" applyFont="1" applyNumberFormat="1"/>
    <xf borderId="4" fillId="0" fontId="2" numFmtId="0" xfId="0" applyBorder="1" applyFont="1"/>
    <xf borderId="0" fillId="0" fontId="5" numFmtId="0" xfId="0" applyFont="1"/>
    <xf borderId="6" fillId="0" fontId="1" numFmtId="0" xfId="0" applyBorder="1" applyFont="1"/>
    <xf borderId="7" fillId="0" fontId="1" numFmtId="0" xfId="0" applyBorder="1" applyFont="1"/>
    <xf borderId="7" fillId="0" fontId="6" numFmtId="0" xfId="0" applyBorder="1" applyFont="1"/>
    <xf borderId="8" fillId="0" fontId="1" numFmtId="3" xfId="0" applyBorder="1" applyFont="1" applyNumberFormat="1"/>
    <xf borderId="6" fillId="0" fontId="1" numFmtId="3" xfId="0" applyBorder="1" applyFont="1" applyNumberFormat="1"/>
    <xf borderId="8" fillId="0" fontId="1" numFmtId="164" xfId="0" applyBorder="1" applyFont="1" applyNumberFormat="1"/>
    <xf borderId="0" fillId="0" fontId="1" numFmtId="3" xfId="0" applyFont="1" applyNumberFormat="1"/>
    <xf borderId="0" fillId="0" fontId="7" numFmtId="164" xfId="0" applyFont="1" applyNumberFormat="1"/>
    <xf borderId="0" fillId="0" fontId="1" numFmtId="1" xfId="0" applyFont="1" applyNumberFormat="1"/>
    <xf borderId="0" fillId="0" fontId="8" numFmtId="0" xfId="0" applyAlignment="1" applyFont="1">
      <alignment readingOrder="0"/>
    </xf>
    <xf borderId="0" fillId="0" fontId="2" numFmtId="166" xfId="0" applyFont="1" applyNumberFormat="1"/>
    <xf borderId="0" fillId="0" fontId="9" numFmtId="0" xfId="0" applyAlignment="1" applyFont="1">
      <alignment readingOrder="0" shrinkToFit="0" wrapText="1"/>
    </xf>
    <xf borderId="0" fillId="0" fontId="1" numFmtId="4" xfId="0" applyFont="1" applyNumberFormat="1"/>
    <xf borderId="0" fillId="0" fontId="2" numFmtId="4" xfId="0" applyFont="1" applyNumberFormat="1"/>
    <xf borderId="0" fillId="0" fontId="2" numFmtId="167" xfId="0" applyFont="1" applyNumberFormat="1"/>
    <xf borderId="0" fillId="0" fontId="2" numFmtId="1" xfId="0" applyFont="1" applyNumberFormat="1"/>
    <xf borderId="0" fillId="0" fontId="10" numFmtId="1" xfId="0" applyFont="1" applyNumberFormat="1"/>
    <xf borderId="0" fillId="0" fontId="11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4" fontId="2" numFmtId="0" xfId="0" applyFont="1"/>
    <xf borderId="0" fillId="0" fontId="6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2" numFmtId="0" xfId="0" applyFont="1"/>
    <xf borderId="0" fillId="3" fontId="2" numFmtId="0" xfId="0" applyAlignment="1" applyFont="1">
      <alignment readingOrder="0"/>
    </xf>
    <xf borderId="0" fillId="4" fontId="12" numFmtId="0" xfId="0" applyFont="1"/>
    <xf borderId="0" fillId="4" fontId="5" numFmtId="0" xfId="0" applyAlignment="1" applyFont="1">
      <alignment readingOrder="0"/>
    </xf>
    <xf borderId="0" fillId="4" fontId="2" numFmtId="164" xfId="0" applyFont="1" applyNumberFormat="1"/>
    <xf borderId="0" fillId="0" fontId="13" numFmtId="0" xfId="0" applyFont="1"/>
    <xf borderId="0" fillId="0" fontId="12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Chart1 Monthly Production vs. 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Production vs. Consumption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'Chart1 Monthly Production vs. C'!$A$3:$A$15</c:f>
            </c:strRef>
          </c:cat>
          <c:val>
            <c:numRef>
              <c:f>'Chart1 Monthly Production vs. C'!$B$3:$B$15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'Chart1 Monthly Production vs. C'!$A$3:$A$15</c:f>
            </c:strRef>
          </c:cat>
          <c:val>
            <c:numRef>
              <c:f>'Chart1 Monthly Production vs. C'!$C$3:$C$15</c:f>
              <c:numCache/>
            </c:numRef>
          </c:val>
          <c:smooth val="0"/>
        </c:ser>
        <c:axId val="836118161"/>
        <c:axId val="1258982841"/>
      </c:lineChart>
      <c:catAx>
        <c:axId val="836118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982841"/>
      </c:catAx>
      <c:valAx>
        <c:axId val="1258982841"/>
        <c:scaling>
          <c:orientation val="minMax"/>
          <c:max val="2537.443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Energy (kWh, assumed)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11816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590550</xdr:colOff>
      <xdr:row>2</xdr:row>
      <xdr:rowOff>66675</xdr:rowOff>
    </xdr:from>
    <xdr:ext cx="6858000" cy="4114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C15" displayName="Monthly_Production_vs._Consumption" name="Monthly_Production_vs._Consumption" id="1">
  <tableColumns count="3">
    <tableColumn name="Month" id="1"/>
    <tableColumn name="Production" id="2"/>
    <tableColumn name="Consumption" id="3"/>
  </tableColumns>
  <tableStyleInfo name="Chart1 Monthly Production vs. 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wtricity.com/country/denmark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C2" s="3">
        <v>47400.0</v>
      </c>
    </row>
    <row r="3">
      <c r="A3" s="2" t="s">
        <v>4</v>
      </c>
      <c r="C3" s="4">
        <v>20625.0</v>
      </c>
    </row>
    <row r="4">
      <c r="A4" s="2" t="s">
        <v>5</v>
      </c>
      <c r="C4" s="4">
        <v>20925.0</v>
      </c>
    </row>
    <row r="5">
      <c r="A5" s="2" t="s">
        <v>6</v>
      </c>
      <c r="C5" s="3">
        <v>11680.0</v>
      </c>
    </row>
    <row r="6">
      <c r="A6" s="2" t="s">
        <v>7</v>
      </c>
      <c r="C6" s="3">
        <v>49335.0</v>
      </c>
    </row>
    <row r="7">
      <c r="A7" s="2" t="s">
        <v>8</v>
      </c>
      <c r="C7" s="3">
        <v>8000.0</v>
      </c>
    </row>
    <row r="8">
      <c r="A8" s="1" t="s">
        <v>9</v>
      </c>
      <c r="B8" s="5"/>
      <c r="C8" s="6">
        <f>SUM(C2:C7)</f>
        <v>157965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3" max="3" width="9.0"/>
    <col customWidth="1" min="4" max="4" width="10.5"/>
    <col customWidth="1" min="5" max="5" width="8.5"/>
    <col customWidth="1" min="8" max="8" width="9.75"/>
    <col customWidth="1" min="9" max="9" width="7.5"/>
    <col customWidth="1" min="10" max="10" width="11.75"/>
    <col customWidth="1" min="11" max="11" width="7.88"/>
    <col customWidth="1" min="12" max="12" width="11.63"/>
    <col customWidth="1" min="13" max="13" width="8.38"/>
    <col customWidth="1" min="14" max="14" width="10.63"/>
    <col customWidth="1" min="15" max="16" width="4.5"/>
    <col customWidth="1" min="17" max="17" width="10.75"/>
    <col customWidth="1" min="18" max="18" width="9.63"/>
    <col customWidth="1" min="19" max="19" width="11.38"/>
    <col customWidth="1" min="20" max="20" width="3.75"/>
    <col customWidth="1" min="26" max="26" width="10.5"/>
    <col customWidth="1" min="27" max="27" width="11.5"/>
  </cols>
  <sheetData>
    <row r="1">
      <c r="A1" s="5"/>
      <c r="B1" s="7" t="s">
        <v>10</v>
      </c>
      <c r="C1" s="8"/>
      <c r="D1" s="8"/>
      <c r="E1" s="9"/>
      <c r="F1" s="7" t="s">
        <v>11</v>
      </c>
      <c r="G1" s="8"/>
      <c r="H1" s="8"/>
      <c r="I1" s="8"/>
      <c r="J1" s="8"/>
      <c r="K1" s="8"/>
      <c r="L1" s="9"/>
      <c r="M1" s="7" t="s">
        <v>12</v>
      </c>
      <c r="N1" s="10"/>
      <c r="O1" s="1"/>
      <c r="P1" s="1"/>
      <c r="Q1" s="1"/>
      <c r="R1" s="1"/>
      <c r="S1" s="1"/>
      <c r="T1" s="1"/>
      <c r="U1" s="1" t="s">
        <v>13</v>
      </c>
      <c r="X1" s="1"/>
      <c r="Y1" s="1" t="s">
        <v>14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>
      <c r="A2" s="5"/>
      <c r="B2" s="11" t="s">
        <v>15</v>
      </c>
      <c r="C2" s="1" t="s">
        <v>16</v>
      </c>
      <c r="D2" s="1" t="s">
        <v>17</v>
      </c>
      <c r="E2" s="1" t="s">
        <v>18</v>
      </c>
      <c r="F2" s="1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2" t="s">
        <v>25</v>
      </c>
      <c r="M2" s="11" t="s">
        <v>26</v>
      </c>
      <c r="N2" s="12" t="s">
        <v>27</v>
      </c>
      <c r="O2" s="1"/>
      <c r="P2" s="1"/>
      <c r="Q2" s="1" t="s">
        <v>28</v>
      </c>
      <c r="R2" s="1" t="s">
        <v>29</v>
      </c>
      <c r="S2" s="1" t="s">
        <v>28</v>
      </c>
      <c r="T2" s="1"/>
      <c r="U2" s="1" t="s">
        <v>30</v>
      </c>
      <c r="V2" s="1" t="s">
        <v>31</v>
      </c>
      <c r="W2" s="1" t="s">
        <v>32</v>
      </c>
      <c r="X2" s="1"/>
      <c r="Y2" s="1" t="s">
        <v>33</v>
      </c>
      <c r="Z2" s="1" t="s">
        <v>34</v>
      </c>
      <c r="AA2" s="1" t="s">
        <v>28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>
      <c r="A3" s="1" t="s">
        <v>35</v>
      </c>
      <c r="B3" s="13">
        <v>214.0</v>
      </c>
      <c r="C3" s="2">
        <v>198.0</v>
      </c>
      <c r="D3" s="2">
        <v>16.0</v>
      </c>
      <c r="E3" s="2">
        <v>0.0</v>
      </c>
      <c r="F3" s="14">
        <v>1660.0</v>
      </c>
      <c r="G3" s="2">
        <v>428.0</v>
      </c>
      <c r="H3" s="2">
        <f t="shared" ref="H3:H14" si="1">C3+E3</f>
        <v>198</v>
      </c>
      <c r="I3" s="15">
        <v>1030.0</v>
      </c>
      <c r="J3" s="16">
        <v>1478.0</v>
      </c>
      <c r="K3" s="2">
        <v>514.0</v>
      </c>
      <c r="L3" s="17">
        <f t="shared" ref="L3:L14" si="2">F3-K3</f>
        <v>1146</v>
      </c>
      <c r="M3" s="18">
        <v>1.87</v>
      </c>
      <c r="N3" s="19">
        <f t="shared" ref="N3:N4" si="3">J3*M3</f>
        <v>2763.86</v>
      </c>
      <c r="Q3" s="20">
        <f t="shared" ref="Q3:Q14" si="4">(M3)*H3</f>
        <v>370.26</v>
      </c>
      <c r="R3" s="2">
        <v>22.0</v>
      </c>
      <c r="U3" s="2">
        <f t="shared" ref="U3:U4" si="5">D3</f>
        <v>16</v>
      </c>
      <c r="V3" s="2" t="s">
        <v>36</v>
      </c>
      <c r="W3" s="3">
        <f t="shared" ref="W3:W14" si="6">U3*M3</f>
        <v>29.92</v>
      </c>
      <c r="X3" s="2"/>
      <c r="Y3" s="21">
        <f t="shared" ref="Y3:Y14" si="7">M3/2</f>
        <v>0.935</v>
      </c>
      <c r="Z3" s="22">
        <f t="shared" ref="Z3:Z5" si="8">G3</f>
        <v>428</v>
      </c>
      <c r="AA3" s="20">
        <f t="shared" ref="AA3:AA14" si="9">Y3*Z3</f>
        <v>400.18</v>
      </c>
    </row>
    <row r="4">
      <c r="A4" s="1" t="s">
        <v>37</v>
      </c>
      <c r="B4" s="13">
        <v>520.0</v>
      </c>
      <c r="C4" s="2">
        <v>15.0</v>
      </c>
      <c r="D4" s="2">
        <v>106.0</v>
      </c>
      <c r="E4" s="2">
        <v>398.0</v>
      </c>
      <c r="F4" s="14">
        <v>1500.0</v>
      </c>
      <c r="G4" s="2">
        <v>385.0</v>
      </c>
      <c r="H4" s="2">
        <f t="shared" si="1"/>
        <v>413</v>
      </c>
      <c r="I4" s="15">
        <v>1100.0</v>
      </c>
      <c r="J4" s="16">
        <v>1100.0</v>
      </c>
      <c r="K4" s="2">
        <v>450.0</v>
      </c>
      <c r="L4" s="17">
        <f t="shared" si="2"/>
        <v>1050</v>
      </c>
      <c r="M4" s="18">
        <v>1.87</v>
      </c>
      <c r="N4" s="19">
        <f t="shared" si="3"/>
        <v>2057</v>
      </c>
      <c r="Q4" s="20">
        <f t="shared" si="4"/>
        <v>772.31</v>
      </c>
      <c r="R4" s="2">
        <v>20.0</v>
      </c>
      <c r="U4" s="2">
        <f t="shared" si="5"/>
        <v>106</v>
      </c>
      <c r="V4" s="2" t="s">
        <v>36</v>
      </c>
      <c r="W4" s="3">
        <f t="shared" si="6"/>
        <v>198.22</v>
      </c>
      <c r="X4" s="2"/>
      <c r="Y4" s="21">
        <f t="shared" si="7"/>
        <v>0.935</v>
      </c>
      <c r="Z4" s="22">
        <f t="shared" si="8"/>
        <v>385</v>
      </c>
      <c r="AA4" s="20">
        <f t="shared" si="9"/>
        <v>359.975</v>
      </c>
    </row>
    <row r="5">
      <c r="A5" s="1" t="s">
        <v>38</v>
      </c>
      <c r="B5" s="13">
        <v>1480.0</v>
      </c>
      <c r="C5" s="2">
        <v>417.0</v>
      </c>
      <c r="D5" s="2">
        <v>669.0</v>
      </c>
      <c r="E5" s="2">
        <v>398.0</v>
      </c>
      <c r="F5" s="14">
        <v>1350.0</v>
      </c>
      <c r="G5" s="2">
        <v>382.0</v>
      </c>
      <c r="H5" s="2">
        <f t="shared" si="1"/>
        <v>815</v>
      </c>
      <c r="I5" s="15">
        <v>559.0</v>
      </c>
      <c r="J5" s="16">
        <v>563.0</v>
      </c>
      <c r="K5" s="2">
        <v>385.0</v>
      </c>
      <c r="L5" s="17">
        <f t="shared" si="2"/>
        <v>965</v>
      </c>
      <c r="M5" s="23">
        <f t="shared" ref="M5:M14" si="10">(N5-(7+19+24))/J5</f>
        <v>1.445825933</v>
      </c>
      <c r="N5" s="24">
        <v>864.0</v>
      </c>
      <c r="Q5" s="20">
        <f t="shared" si="4"/>
        <v>1178.348135</v>
      </c>
      <c r="R5" s="2">
        <v>191.0</v>
      </c>
      <c r="U5" s="2">
        <f>D5*0.5</f>
        <v>334.5</v>
      </c>
      <c r="V5" s="2" t="s">
        <v>39</v>
      </c>
      <c r="W5" s="3">
        <f t="shared" si="6"/>
        <v>483.6287744</v>
      </c>
      <c r="Y5" s="25">
        <f t="shared" si="7"/>
        <v>0.7229129663</v>
      </c>
      <c r="Z5" s="22">
        <f t="shared" si="8"/>
        <v>382</v>
      </c>
      <c r="AA5" s="20">
        <f t="shared" si="9"/>
        <v>276.1527531</v>
      </c>
    </row>
    <row r="6">
      <c r="A6" s="1" t="s">
        <v>40</v>
      </c>
      <c r="B6" s="13">
        <v>2040.0</v>
      </c>
      <c r="C6" s="2">
        <v>747.0</v>
      </c>
      <c r="D6" s="2">
        <v>975.0</v>
      </c>
      <c r="E6" s="2">
        <v>324.0</v>
      </c>
      <c r="F6" s="14">
        <v>1300.0</v>
      </c>
      <c r="G6" s="2">
        <v>315.0</v>
      </c>
      <c r="H6" s="2">
        <f t="shared" si="1"/>
        <v>1071</v>
      </c>
      <c r="I6" s="15">
        <v>238.0</v>
      </c>
      <c r="J6" s="16">
        <v>242.0</v>
      </c>
      <c r="K6" s="2">
        <v>456.0</v>
      </c>
      <c r="L6" s="17">
        <f t="shared" si="2"/>
        <v>844</v>
      </c>
      <c r="M6" s="23">
        <f t="shared" si="10"/>
        <v>1.334710744</v>
      </c>
      <c r="N6" s="24">
        <v>373.0</v>
      </c>
      <c r="Q6" s="20">
        <f t="shared" si="4"/>
        <v>1429.475207</v>
      </c>
      <c r="R6" s="2">
        <v>187.0</v>
      </c>
      <c r="U6" s="2">
        <f t="shared" ref="U6:U11" si="11">J6</f>
        <v>242</v>
      </c>
      <c r="V6" s="2" t="s">
        <v>41</v>
      </c>
      <c r="W6" s="3">
        <f t="shared" si="6"/>
        <v>323</v>
      </c>
      <c r="Y6" s="25">
        <f t="shared" si="7"/>
        <v>0.6673553719</v>
      </c>
      <c r="Z6" s="2">
        <v>0.0</v>
      </c>
      <c r="AA6" s="20">
        <f t="shared" si="9"/>
        <v>0</v>
      </c>
    </row>
    <row r="7">
      <c r="A7" s="1" t="s">
        <v>42</v>
      </c>
      <c r="B7" s="13">
        <v>2330.0</v>
      </c>
      <c r="C7" s="2">
        <v>513.0</v>
      </c>
      <c r="D7" s="2">
        <v>1550.0</v>
      </c>
      <c r="E7" s="2">
        <v>264.0</v>
      </c>
      <c r="F7" s="14">
        <v>857.0</v>
      </c>
      <c r="G7" s="2">
        <v>234.0</v>
      </c>
      <c r="H7" s="2">
        <f t="shared" si="1"/>
        <v>777</v>
      </c>
      <c r="I7" s="15">
        <v>134.0</v>
      </c>
      <c r="J7" s="16">
        <v>150.0</v>
      </c>
      <c r="K7" s="2">
        <v>245.0</v>
      </c>
      <c r="L7" s="17">
        <f t="shared" si="2"/>
        <v>612</v>
      </c>
      <c r="M7" s="23">
        <f t="shared" si="10"/>
        <v>1.706666667</v>
      </c>
      <c r="N7" s="24">
        <v>306.0</v>
      </c>
      <c r="Q7" s="20">
        <f t="shared" si="4"/>
        <v>1326.08</v>
      </c>
      <c r="R7" s="2">
        <v>268.0</v>
      </c>
      <c r="U7" s="2">
        <f t="shared" si="11"/>
        <v>150</v>
      </c>
      <c r="V7" s="2" t="s">
        <v>41</v>
      </c>
      <c r="W7" s="3">
        <f t="shared" si="6"/>
        <v>256</v>
      </c>
      <c r="X7" s="2"/>
      <c r="Y7" s="25">
        <f t="shared" si="7"/>
        <v>0.8533333333</v>
      </c>
      <c r="Z7" s="2">
        <v>0.0</v>
      </c>
      <c r="AA7" s="20">
        <f t="shared" si="9"/>
        <v>0</v>
      </c>
    </row>
    <row r="8">
      <c r="A8" s="1" t="s">
        <v>43</v>
      </c>
      <c r="B8" s="13">
        <v>2380.0</v>
      </c>
      <c r="C8" s="2">
        <v>613.0</v>
      </c>
      <c r="D8" s="2">
        <v>1510.0</v>
      </c>
      <c r="E8" s="2">
        <v>257.0</v>
      </c>
      <c r="F8" s="14">
        <v>1000.0</v>
      </c>
      <c r="G8" s="2">
        <v>250.0</v>
      </c>
      <c r="H8" s="2">
        <f t="shared" si="1"/>
        <v>870</v>
      </c>
      <c r="I8" s="15">
        <v>143.0</v>
      </c>
      <c r="J8" s="16">
        <v>150.0</v>
      </c>
      <c r="K8" s="2">
        <v>339.0</v>
      </c>
      <c r="L8" s="17">
        <f t="shared" si="2"/>
        <v>661</v>
      </c>
      <c r="M8" s="23">
        <f t="shared" si="10"/>
        <v>1.84</v>
      </c>
      <c r="N8" s="24">
        <v>326.0</v>
      </c>
      <c r="Q8" s="20">
        <f t="shared" si="4"/>
        <v>1600.8</v>
      </c>
      <c r="R8" s="2">
        <v>124.0</v>
      </c>
      <c r="U8" s="2">
        <f t="shared" si="11"/>
        <v>150</v>
      </c>
      <c r="V8" s="2" t="s">
        <v>41</v>
      </c>
      <c r="W8" s="3">
        <f t="shared" si="6"/>
        <v>276</v>
      </c>
      <c r="X8" s="2"/>
      <c r="Y8" s="25">
        <f t="shared" si="7"/>
        <v>0.92</v>
      </c>
      <c r="Z8" s="2">
        <v>0.0</v>
      </c>
      <c r="AA8" s="20">
        <f t="shared" si="9"/>
        <v>0</v>
      </c>
    </row>
    <row r="9">
      <c r="A9" s="1" t="s">
        <v>44</v>
      </c>
      <c r="B9" s="13">
        <v>2160.0</v>
      </c>
      <c r="C9" s="2">
        <v>552.0</v>
      </c>
      <c r="D9" s="2">
        <v>1360.0</v>
      </c>
      <c r="E9" s="2">
        <v>250.0</v>
      </c>
      <c r="F9" s="14">
        <v>926.0</v>
      </c>
      <c r="G9" s="2">
        <v>239.0</v>
      </c>
      <c r="H9" s="2">
        <f t="shared" si="1"/>
        <v>802</v>
      </c>
      <c r="I9" s="15">
        <v>135.0</v>
      </c>
      <c r="J9" s="16">
        <v>140.0</v>
      </c>
      <c r="K9" s="2">
        <v>299.0</v>
      </c>
      <c r="L9" s="17">
        <f t="shared" si="2"/>
        <v>627</v>
      </c>
      <c r="M9" s="23">
        <f t="shared" si="10"/>
        <v>1.857142857</v>
      </c>
      <c r="N9" s="24">
        <v>310.0</v>
      </c>
      <c r="Q9" s="20">
        <f t="shared" si="4"/>
        <v>1489.428571</v>
      </c>
      <c r="R9" s="2">
        <v>480.0</v>
      </c>
      <c r="U9" s="2">
        <f t="shared" si="11"/>
        <v>140</v>
      </c>
      <c r="V9" s="2" t="s">
        <v>41</v>
      </c>
      <c r="W9" s="3">
        <f t="shared" si="6"/>
        <v>260</v>
      </c>
      <c r="X9" s="2"/>
      <c r="Y9" s="25">
        <f t="shared" si="7"/>
        <v>0.9285714286</v>
      </c>
      <c r="Z9" s="2">
        <v>0.0</v>
      </c>
      <c r="AA9" s="20">
        <f t="shared" si="9"/>
        <v>0</v>
      </c>
    </row>
    <row r="10">
      <c r="A10" s="1" t="s">
        <v>45</v>
      </c>
      <c r="B10" s="13">
        <v>2150.0</v>
      </c>
      <c r="C10" s="2">
        <v>556.0</v>
      </c>
      <c r="D10" s="2">
        <v>1330.0</v>
      </c>
      <c r="E10" s="2">
        <v>261.0</v>
      </c>
      <c r="F10" s="14">
        <v>1080.0</v>
      </c>
      <c r="G10" s="2">
        <v>316.0</v>
      </c>
      <c r="H10" s="2">
        <f t="shared" si="1"/>
        <v>817</v>
      </c>
      <c r="I10" s="15">
        <v>163.0</v>
      </c>
      <c r="J10" s="16">
        <v>251.0</v>
      </c>
      <c r="K10" s="2">
        <v>290.0</v>
      </c>
      <c r="L10" s="17">
        <f t="shared" si="2"/>
        <v>790</v>
      </c>
      <c r="M10" s="23">
        <f t="shared" si="10"/>
        <v>1.717131474</v>
      </c>
      <c r="N10" s="24">
        <v>481.0</v>
      </c>
      <c r="Q10" s="20">
        <f t="shared" si="4"/>
        <v>1402.896414</v>
      </c>
      <c r="R10" s="2">
        <v>263.0</v>
      </c>
      <c r="U10" s="2">
        <f t="shared" si="11"/>
        <v>251</v>
      </c>
      <c r="V10" s="2" t="s">
        <v>41</v>
      </c>
      <c r="W10" s="3">
        <f t="shared" si="6"/>
        <v>431</v>
      </c>
      <c r="X10" s="2"/>
      <c r="Y10" s="25">
        <f t="shared" si="7"/>
        <v>0.8585657371</v>
      </c>
      <c r="Z10" s="2">
        <v>0.0</v>
      </c>
      <c r="AA10" s="20">
        <f t="shared" si="9"/>
        <v>0</v>
      </c>
    </row>
    <row r="11">
      <c r="A11" s="1" t="s">
        <v>46</v>
      </c>
      <c r="B11" s="13">
        <v>1630.0</v>
      </c>
      <c r="C11" s="2">
        <v>439.0</v>
      </c>
      <c r="D11" s="2">
        <v>940.0</v>
      </c>
      <c r="E11" s="2">
        <v>252.0</v>
      </c>
      <c r="F11" s="14">
        <v>1030.0</v>
      </c>
      <c r="G11" s="2">
        <v>328.0</v>
      </c>
      <c r="H11" s="2">
        <f t="shared" si="1"/>
        <v>691</v>
      </c>
      <c r="I11" s="15">
        <v>267.0</v>
      </c>
      <c r="J11" s="16">
        <v>363.0</v>
      </c>
      <c r="K11" s="2">
        <v>351.0</v>
      </c>
      <c r="L11" s="17">
        <f t="shared" si="2"/>
        <v>679</v>
      </c>
      <c r="M11" s="23">
        <f t="shared" si="10"/>
        <v>2.280991736</v>
      </c>
      <c r="N11" s="24">
        <f>635+243</f>
        <v>878</v>
      </c>
      <c r="O11" s="1"/>
      <c r="Q11" s="20">
        <f t="shared" si="4"/>
        <v>1576.165289</v>
      </c>
      <c r="R11" s="2">
        <v>276.0</v>
      </c>
      <c r="U11" s="2">
        <f t="shared" si="11"/>
        <v>363</v>
      </c>
      <c r="V11" s="2" t="s">
        <v>41</v>
      </c>
      <c r="W11" s="3">
        <f t="shared" si="6"/>
        <v>828</v>
      </c>
      <c r="X11" s="2"/>
      <c r="Y11" s="25">
        <f t="shared" si="7"/>
        <v>1.140495868</v>
      </c>
      <c r="Z11" s="22">
        <f t="shared" ref="Z11:Z14" si="12">G11</f>
        <v>328</v>
      </c>
      <c r="AA11" s="20">
        <f t="shared" si="9"/>
        <v>374.0826446</v>
      </c>
    </row>
    <row r="12">
      <c r="A12" s="1" t="s">
        <v>47</v>
      </c>
      <c r="B12" s="13">
        <v>783.0</v>
      </c>
      <c r="C12" s="2">
        <v>275.0</v>
      </c>
      <c r="D12" s="2">
        <v>325.0</v>
      </c>
      <c r="E12" s="2">
        <v>183.0</v>
      </c>
      <c r="F12" s="14">
        <v>1500.0</v>
      </c>
      <c r="G12" s="2">
        <v>402.0</v>
      </c>
      <c r="H12" s="2">
        <f t="shared" si="1"/>
        <v>458</v>
      </c>
      <c r="I12" s="15">
        <v>824.0</v>
      </c>
      <c r="J12" s="16">
        <v>1063.0</v>
      </c>
      <c r="K12" s="2">
        <v>486.0</v>
      </c>
      <c r="L12" s="17">
        <f t="shared" si="2"/>
        <v>1014</v>
      </c>
      <c r="M12" s="23">
        <f t="shared" si="10"/>
        <v>2.100432738</v>
      </c>
      <c r="N12" s="24">
        <v>2282.76</v>
      </c>
      <c r="Q12" s="20">
        <f t="shared" si="4"/>
        <v>961.9981938</v>
      </c>
      <c r="R12" s="2">
        <v>163.0</v>
      </c>
      <c r="U12" s="2">
        <f t="shared" ref="U12:U14" si="13">D12</f>
        <v>325</v>
      </c>
      <c r="V12" s="2" t="s">
        <v>36</v>
      </c>
      <c r="W12" s="3">
        <f t="shared" si="6"/>
        <v>682.6406397</v>
      </c>
      <c r="X12" s="2"/>
      <c r="Y12" s="25">
        <f t="shared" si="7"/>
        <v>1.050216369</v>
      </c>
      <c r="Z12" s="22">
        <f t="shared" si="12"/>
        <v>402</v>
      </c>
      <c r="AA12" s="20">
        <f t="shared" si="9"/>
        <v>422.1869802</v>
      </c>
    </row>
    <row r="13">
      <c r="A13" s="1" t="s">
        <v>48</v>
      </c>
      <c r="B13" s="13">
        <v>364.0</v>
      </c>
      <c r="C13" s="2">
        <v>187.0</v>
      </c>
      <c r="D13" s="2">
        <v>70.0</v>
      </c>
      <c r="E13" s="2">
        <v>107.0</v>
      </c>
      <c r="F13" s="14">
        <v>1700.0</v>
      </c>
      <c r="G13" s="2">
        <v>374.0</v>
      </c>
      <c r="H13" s="2">
        <f t="shared" si="1"/>
        <v>294</v>
      </c>
      <c r="I13" s="15">
        <v>1140.0</v>
      </c>
      <c r="J13" s="16">
        <v>1421.0</v>
      </c>
      <c r="K13" s="2">
        <v>429.0</v>
      </c>
      <c r="L13" s="17">
        <f t="shared" si="2"/>
        <v>1271</v>
      </c>
      <c r="M13" s="23">
        <f t="shared" si="10"/>
        <v>1.478930331</v>
      </c>
      <c r="N13" s="24">
        <v>2151.56</v>
      </c>
      <c r="Q13" s="20">
        <f t="shared" si="4"/>
        <v>434.8055172</v>
      </c>
      <c r="R13" s="2"/>
      <c r="U13" s="2">
        <f t="shared" si="13"/>
        <v>70</v>
      </c>
      <c r="V13" s="2" t="s">
        <v>36</v>
      </c>
      <c r="W13" s="3">
        <f t="shared" si="6"/>
        <v>103.5251232</v>
      </c>
      <c r="X13" s="2"/>
      <c r="Y13" s="25">
        <f t="shared" si="7"/>
        <v>0.7394651654</v>
      </c>
      <c r="Z13" s="22">
        <f t="shared" si="12"/>
        <v>374</v>
      </c>
      <c r="AA13" s="20">
        <f t="shared" si="9"/>
        <v>276.5599719</v>
      </c>
    </row>
    <row r="14">
      <c r="A14" s="1" t="s">
        <v>49</v>
      </c>
      <c r="B14" s="13">
        <v>225.0</v>
      </c>
      <c r="C14" s="2">
        <v>113.0</v>
      </c>
      <c r="D14" s="2">
        <v>26.0</v>
      </c>
      <c r="E14" s="2">
        <v>86.0</v>
      </c>
      <c r="F14" s="14">
        <v>1750.0</v>
      </c>
      <c r="G14" s="2">
        <v>366.0</v>
      </c>
      <c r="H14" s="2">
        <f t="shared" si="1"/>
        <v>199</v>
      </c>
      <c r="I14" s="15">
        <v>1270.0</v>
      </c>
      <c r="J14" s="16">
        <v>1555.0</v>
      </c>
      <c r="K14" s="2">
        <v>423.0</v>
      </c>
      <c r="L14" s="17">
        <f t="shared" si="2"/>
        <v>1327</v>
      </c>
      <c r="M14" s="23">
        <f t="shared" si="10"/>
        <v>1.351485531</v>
      </c>
      <c r="N14" s="24">
        <v>2151.56</v>
      </c>
      <c r="Q14" s="20">
        <f t="shared" si="4"/>
        <v>268.9456206</v>
      </c>
      <c r="U14" s="2">
        <f t="shared" si="13"/>
        <v>26</v>
      </c>
      <c r="V14" s="2" t="s">
        <v>36</v>
      </c>
      <c r="W14" s="3">
        <f t="shared" si="6"/>
        <v>35.13862379</v>
      </c>
      <c r="X14" s="2"/>
      <c r="Y14" s="25">
        <f t="shared" si="7"/>
        <v>0.6757427653</v>
      </c>
      <c r="Z14" s="22">
        <f t="shared" si="12"/>
        <v>366</v>
      </c>
      <c r="AA14" s="20">
        <f t="shared" si="9"/>
        <v>247.3218521</v>
      </c>
    </row>
    <row r="15">
      <c r="B15" s="26"/>
      <c r="F15" s="26"/>
      <c r="I15" s="27"/>
      <c r="L15" s="17"/>
      <c r="M15" s="26"/>
      <c r="N15" s="19"/>
      <c r="Q15" s="20"/>
      <c r="AA15" s="20"/>
    </row>
    <row r="16">
      <c r="B16" s="26"/>
      <c r="F16" s="26"/>
      <c r="I16" s="27"/>
      <c r="L16" s="17"/>
      <c r="M16" s="26"/>
      <c r="N16" s="19"/>
      <c r="Q16" s="20"/>
      <c r="AA16" s="20"/>
    </row>
    <row r="17">
      <c r="A17" s="1" t="s">
        <v>9</v>
      </c>
      <c r="B17" s="28">
        <f t="shared" ref="B17:L17" si="14">SUM(B3:B14)</f>
        <v>16276</v>
      </c>
      <c r="C17" s="29">
        <f t="shared" si="14"/>
        <v>4625</v>
      </c>
      <c r="D17" s="29">
        <f t="shared" si="14"/>
        <v>8877</v>
      </c>
      <c r="E17" s="29">
        <f t="shared" si="14"/>
        <v>2780</v>
      </c>
      <c r="F17" s="28">
        <f t="shared" si="14"/>
        <v>15653</v>
      </c>
      <c r="G17" s="29">
        <f t="shared" si="14"/>
        <v>4019</v>
      </c>
      <c r="H17" s="29">
        <f t="shared" si="14"/>
        <v>7405</v>
      </c>
      <c r="I17" s="30">
        <f t="shared" si="14"/>
        <v>7003</v>
      </c>
      <c r="J17" s="29">
        <f t="shared" si="14"/>
        <v>8476</v>
      </c>
      <c r="K17" s="29">
        <f t="shared" si="14"/>
        <v>4667</v>
      </c>
      <c r="L17" s="31">
        <f t="shared" si="14"/>
        <v>10986</v>
      </c>
      <c r="M17" s="32"/>
      <c r="N17" s="33">
        <f>SUM(N3:N14)</f>
        <v>14944.74</v>
      </c>
      <c r="O17" s="34"/>
      <c r="P17" s="5"/>
      <c r="Q17" s="6">
        <f t="shared" ref="Q17:R17" si="15">SUM(Q3:Q14)</f>
        <v>12811.51295</v>
      </c>
      <c r="R17" s="6">
        <f t="shared" si="15"/>
        <v>1994</v>
      </c>
      <c r="S17" s="35">
        <f>Q17+R17</f>
        <v>14805.51295</v>
      </c>
      <c r="T17" s="5"/>
      <c r="U17" s="36">
        <f>SUM(U3:U6)</f>
        <v>698.5</v>
      </c>
      <c r="V17" s="5"/>
      <c r="W17" s="6">
        <f>SUM(W3:W6)</f>
        <v>1034.768774</v>
      </c>
      <c r="X17" s="5"/>
      <c r="Y17" s="5"/>
      <c r="Z17" s="5"/>
      <c r="AA17" s="6">
        <f>SUM(AA3:AA14)</f>
        <v>2356.459202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>
      <c r="G18" s="2"/>
      <c r="I18" s="37" t="s">
        <v>50</v>
      </c>
      <c r="M18" s="38"/>
      <c r="N18" s="3"/>
      <c r="O18" s="2"/>
      <c r="Q18" s="20"/>
      <c r="AA18" s="20"/>
    </row>
    <row r="19">
      <c r="Q19" s="39"/>
    </row>
    <row r="20">
      <c r="A20" s="1" t="s">
        <v>51</v>
      </c>
      <c r="B20" s="3">
        <f>'Setup &amp; price'!C8</f>
        <v>157965</v>
      </c>
    </row>
    <row r="21">
      <c r="A21" s="1" t="s">
        <v>52</v>
      </c>
      <c r="B21" s="40">
        <f>B20/S17</f>
        <v>10.66933652</v>
      </c>
    </row>
    <row r="22">
      <c r="A22" s="1" t="s">
        <v>53</v>
      </c>
      <c r="B22" s="41">
        <f>B20/(S17+W17)</f>
        <v>9.972360515</v>
      </c>
    </row>
    <row r="23">
      <c r="A23" s="1" t="s">
        <v>54</v>
      </c>
      <c r="B23" s="42">
        <f>B20/(S17+W17+AA17)</f>
        <v>8.680950103</v>
      </c>
    </row>
    <row r="25">
      <c r="A25" s="1"/>
    </row>
    <row r="26">
      <c r="A26" s="1"/>
      <c r="B26" s="36"/>
    </row>
  </sheetData>
  <mergeCells count="5">
    <mergeCell ref="B1:E1"/>
    <mergeCell ref="F1:L1"/>
    <mergeCell ref="U1:W1"/>
    <mergeCell ref="Y1:AA1"/>
    <mergeCell ref="Q19:S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3" max="3" width="8.88"/>
    <col customWidth="1" min="4" max="4" width="9.0"/>
    <col customWidth="1" min="5" max="5" width="7.0"/>
    <col customWidth="1" min="7" max="7" width="8.63"/>
    <col customWidth="1" min="8" max="8" width="11.25"/>
    <col customWidth="1" min="9" max="9" width="7.38"/>
    <col customWidth="1" min="10" max="10" width="8.63"/>
    <col customWidth="1" min="11" max="11" width="8.75"/>
    <col customWidth="1" min="12" max="12" width="11.88"/>
    <col customWidth="1" min="13" max="13" width="13.75"/>
    <col customWidth="1" min="14" max="14" width="17.0"/>
    <col customWidth="1" min="16" max="16" width="9.63"/>
  </cols>
  <sheetData>
    <row r="1">
      <c r="A1" s="5"/>
      <c r="B1" s="1" t="s">
        <v>55</v>
      </c>
      <c r="F1" s="1" t="s">
        <v>56</v>
      </c>
      <c r="J1" s="1"/>
      <c r="K1" s="1"/>
      <c r="L1" s="1"/>
      <c r="M1" s="1"/>
      <c r="N1" s="1"/>
      <c r="O1" s="1"/>
      <c r="P1" s="5"/>
      <c r="Q1" s="5"/>
      <c r="R1" s="5"/>
      <c r="S1" s="5"/>
      <c r="T1" s="1" t="s">
        <v>57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5"/>
      <c r="B2" s="1" t="s">
        <v>15</v>
      </c>
      <c r="C2" s="1" t="s">
        <v>58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23</v>
      </c>
      <c r="J2" s="1" t="s">
        <v>59</v>
      </c>
      <c r="K2" s="1"/>
      <c r="L2" s="1" t="s">
        <v>60</v>
      </c>
      <c r="M2" s="1" t="s">
        <v>61</v>
      </c>
      <c r="N2" s="1" t="s">
        <v>62</v>
      </c>
      <c r="O2" s="1" t="s">
        <v>63</v>
      </c>
      <c r="P2" s="5"/>
      <c r="Q2" s="1" t="s">
        <v>64</v>
      </c>
      <c r="R2" s="1" t="s">
        <v>65</v>
      </c>
      <c r="S2" s="5"/>
      <c r="T2" s="1" t="s">
        <v>66</v>
      </c>
      <c r="U2" s="1" t="s">
        <v>67</v>
      </c>
      <c r="V2" s="1" t="s">
        <v>67</v>
      </c>
      <c r="W2" s="1" t="s">
        <v>68</v>
      </c>
      <c r="X2" s="1" t="s">
        <v>69</v>
      </c>
      <c r="Y2" s="5"/>
      <c r="Z2" s="5"/>
      <c r="AA2" s="5"/>
      <c r="AB2" s="5"/>
      <c r="AC2" s="5"/>
      <c r="AD2" s="5"/>
      <c r="AE2" s="5"/>
      <c r="AF2" s="5"/>
    </row>
    <row r="3">
      <c r="A3" s="1" t="s">
        <v>35</v>
      </c>
      <c r="B3" s="2">
        <v>214.0</v>
      </c>
      <c r="C3" s="2">
        <v>198.0</v>
      </c>
      <c r="D3" s="2">
        <v>16.0</v>
      </c>
      <c r="E3" s="2">
        <v>0.0</v>
      </c>
      <c r="F3" s="2">
        <v>1660.0</v>
      </c>
      <c r="G3" s="2">
        <v>428.0</v>
      </c>
      <c r="H3" s="2">
        <f t="shared" ref="H3:H14" si="1">C3+E3</f>
        <v>198</v>
      </c>
      <c r="I3" s="2">
        <v>1478.0</v>
      </c>
      <c r="J3" s="22">
        <f>'All of 2025 Payback time'!L3</f>
        <v>1146</v>
      </c>
      <c r="L3" s="2">
        <v>186.0</v>
      </c>
      <c r="M3" s="43">
        <f t="shared" ref="M3:M14" si="2">(B3*L3)/1000</f>
        <v>39.804</v>
      </c>
      <c r="N3" s="43">
        <f t="shared" ref="N3:N14" si="3">(H3*L3)/1000</f>
        <v>36.828</v>
      </c>
      <c r="O3" s="43">
        <f t="shared" ref="O3:O14" si="4">(D3*L3)/1000</f>
        <v>2.976</v>
      </c>
      <c r="Q3" s="22">
        <f t="shared" ref="Q3:Q14" si="5">(L3*I3)/1000</f>
        <v>274.908</v>
      </c>
      <c r="R3" s="22">
        <f t="shared" ref="R3:R14" si="6">(L3*F3)/1000</f>
        <v>308.76</v>
      </c>
      <c r="T3" s="2" t="s">
        <v>70</v>
      </c>
      <c r="U3" s="2">
        <f t="shared" ref="U3:U6" si="7">J3-700</f>
        <v>446</v>
      </c>
      <c r="V3" s="2">
        <v>726.0</v>
      </c>
      <c r="W3" s="43">
        <f t="shared" ref="W3:W14" si="8">(V3*L3)/1000</f>
        <v>135.036</v>
      </c>
    </row>
    <row r="4">
      <c r="A4" s="1" t="s">
        <v>37</v>
      </c>
      <c r="B4" s="2">
        <v>520.0</v>
      </c>
      <c r="C4" s="2">
        <v>15.0</v>
      </c>
      <c r="D4" s="2">
        <v>106.0</v>
      </c>
      <c r="E4" s="2">
        <v>398.0</v>
      </c>
      <c r="F4" s="2">
        <v>1500.0</v>
      </c>
      <c r="G4" s="2">
        <v>385.0</v>
      </c>
      <c r="H4" s="2">
        <f t="shared" si="1"/>
        <v>413</v>
      </c>
      <c r="I4" s="2">
        <v>1100.0</v>
      </c>
      <c r="J4" s="22">
        <f>'All of 2025 Payback time'!L4</f>
        <v>1050</v>
      </c>
      <c r="L4" s="2">
        <v>243.0</v>
      </c>
      <c r="M4" s="43">
        <f t="shared" si="2"/>
        <v>126.36</v>
      </c>
      <c r="N4" s="43">
        <f t="shared" si="3"/>
        <v>100.359</v>
      </c>
      <c r="O4" s="43">
        <f t="shared" si="4"/>
        <v>25.758</v>
      </c>
      <c r="Q4" s="22">
        <f t="shared" si="5"/>
        <v>267.3</v>
      </c>
      <c r="R4" s="22">
        <f t="shared" si="6"/>
        <v>364.5</v>
      </c>
      <c r="T4" s="2" t="s">
        <v>70</v>
      </c>
      <c r="U4" s="2">
        <f t="shared" si="7"/>
        <v>350</v>
      </c>
      <c r="V4" s="2">
        <v>659.0</v>
      </c>
      <c r="W4" s="43">
        <f t="shared" si="8"/>
        <v>160.137</v>
      </c>
    </row>
    <row r="5">
      <c r="A5" s="1" t="s">
        <v>38</v>
      </c>
      <c r="B5" s="2">
        <v>1480.0</v>
      </c>
      <c r="C5" s="2">
        <v>417.0</v>
      </c>
      <c r="D5" s="2">
        <v>669.0</v>
      </c>
      <c r="E5" s="2">
        <v>398.0</v>
      </c>
      <c r="F5" s="2">
        <v>1350.0</v>
      </c>
      <c r="G5" s="2">
        <v>382.0</v>
      </c>
      <c r="H5" s="2">
        <f t="shared" si="1"/>
        <v>815</v>
      </c>
      <c r="I5" s="2">
        <v>563.0</v>
      </c>
      <c r="J5" s="22">
        <f>'All of 2025 Payback time'!L5</f>
        <v>965</v>
      </c>
      <c r="L5" s="2">
        <v>180.0</v>
      </c>
      <c r="M5" s="43">
        <f t="shared" si="2"/>
        <v>266.4</v>
      </c>
      <c r="N5" s="43">
        <f t="shared" si="3"/>
        <v>146.7</v>
      </c>
      <c r="O5" s="43">
        <f t="shared" si="4"/>
        <v>120.42</v>
      </c>
      <c r="Q5" s="22">
        <f t="shared" si="5"/>
        <v>101.34</v>
      </c>
      <c r="R5" s="22">
        <f t="shared" si="6"/>
        <v>243</v>
      </c>
      <c r="T5" s="2" t="s">
        <v>70</v>
      </c>
      <c r="U5" s="2">
        <f t="shared" si="7"/>
        <v>265</v>
      </c>
      <c r="V5" s="2">
        <v>646.0</v>
      </c>
      <c r="W5" s="43">
        <f t="shared" si="8"/>
        <v>116.28</v>
      </c>
    </row>
    <row r="6">
      <c r="A6" s="1" t="s">
        <v>40</v>
      </c>
      <c r="B6" s="2">
        <v>2040.0</v>
      </c>
      <c r="C6" s="2">
        <v>747.0</v>
      </c>
      <c r="D6" s="2">
        <v>975.0</v>
      </c>
      <c r="E6" s="2">
        <v>324.0</v>
      </c>
      <c r="F6" s="2">
        <v>1300.0</v>
      </c>
      <c r="G6" s="2">
        <v>315.0</v>
      </c>
      <c r="H6" s="2">
        <f t="shared" si="1"/>
        <v>1071</v>
      </c>
      <c r="I6" s="2">
        <v>242.0</v>
      </c>
      <c r="J6" s="22">
        <f>'All of 2025 Payback time'!L6</f>
        <v>844</v>
      </c>
      <c r="L6" s="2">
        <v>203.0</v>
      </c>
      <c r="M6" s="43">
        <f t="shared" si="2"/>
        <v>414.12</v>
      </c>
      <c r="N6" s="43">
        <f t="shared" si="3"/>
        <v>217.413</v>
      </c>
      <c r="O6" s="43">
        <f t="shared" si="4"/>
        <v>197.925</v>
      </c>
      <c r="Q6" s="22">
        <f t="shared" si="5"/>
        <v>49.126</v>
      </c>
      <c r="R6" s="22">
        <f t="shared" si="6"/>
        <v>263.9</v>
      </c>
      <c r="T6" s="2" t="s">
        <v>70</v>
      </c>
      <c r="U6" s="2">
        <f t="shared" si="7"/>
        <v>144</v>
      </c>
      <c r="V6" s="2">
        <v>464.0</v>
      </c>
      <c r="W6" s="43">
        <f t="shared" si="8"/>
        <v>94.192</v>
      </c>
    </row>
    <row r="7">
      <c r="A7" s="1" t="s">
        <v>42</v>
      </c>
      <c r="B7" s="2">
        <v>2330.0</v>
      </c>
      <c r="C7" s="2">
        <v>513.0</v>
      </c>
      <c r="D7" s="2">
        <v>1550.0</v>
      </c>
      <c r="E7" s="2">
        <v>264.0</v>
      </c>
      <c r="F7" s="2">
        <v>857.0</v>
      </c>
      <c r="G7" s="2">
        <v>234.0</v>
      </c>
      <c r="H7" s="2">
        <f t="shared" si="1"/>
        <v>777</v>
      </c>
      <c r="I7" s="2">
        <v>150.0</v>
      </c>
      <c r="J7" s="22">
        <f>'All of 2025 Payback time'!L7</f>
        <v>612</v>
      </c>
      <c r="L7" s="2">
        <v>116.0</v>
      </c>
      <c r="M7" s="43">
        <f t="shared" si="2"/>
        <v>270.28</v>
      </c>
      <c r="N7" s="43">
        <f t="shared" si="3"/>
        <v>90.132</v>
      </c>
      <c r="O7" s="43">
        <f t="shared" si="4"/>
        <v>179.8</v>
      </c>
      <c r="Q7" s="22">
        <f t="shared" si="5"/>
        <v>17.4</v>
      </c>
      <c r="R7" s="22">
        <f t="shared" si="6"/>
        <v>99.412</v>
      </c>
      <c r="W7" s="43">
        <f t="shared" si="8"/>
        <v>0</v>
      </c>
    </row>
    <row r="8">
      <c r="A8" s="1" t="s">
        <v>43</v>
      </c>
      <c r="B8" s="2">
        <v>2380.0</v>
      </c>
      <c r="C8" s="2">
        <v>613.0</v>
      </c>
      <c r="D8" s="2">
        <v>1510.0</v>
      </c>
      <c r="E8" s="2">
        <v>257.0</v>
      </c>
      <c r="F8" s="2">
        <v>1000.0</v>
      </c>
      <c r="G8" s="2">
        <v>250.0</v>
      </c>
      <c r="H8" s="2">
        <f t="shared" si="1"/>
        <v>870</v>
      </c>
      <c r="I8" s="2">
        <v>150.0</v>
      </c>
      <c r="J8" s="22">
        <f>'All of 2025 Payback time'!L8</f>
        <v>661</v>
      </c>
      <c r="L8" s="2">
        <v>94.0</v>
      </c>
      <c r="M8" s="43">
        <f t="shared" si="2"/>
        <v>223.72</v>
      </c>
      <c r="N8" s="43">
        <f t="shared" si="3"/>
        <v>81.78</v>
      </c>
      <c r="O8" s="43">
        <f t="shared" si="4"/>
        <v>141.94</v>
      </c>
      <c r="Q8" s="22">
        <f t="shared" si="5"/>
        <v>14.1</v>
      </c>
      <c r="R8" s="22">
        <f t="shared" si="6"/>
        <v>94</v>
      </c>
      <c r="W8" s="43">
        <f t="shared" si="8"/>
        <v>0</v>
      </c>
    </row>
    <row r="9">
      <c r="A9" s="1" t="s">
        <v>44</v>
      </c>
      <c r="B9" s="2">
        <v>2160.0</v>
      </c>
      <c r="C9" s="2">
        <v>552.0</v>
      </c>
      <c r="D9" s="2">
        <v>1360.0</v>
      </c>
      <c r="E9" s="2">
        <v>250.0</v>
      </c>
      <c r="F9" s="2">
        <v>926.0</v>
      </c>
      <c r="G9" s="2">
        <v>239.0</v>
      </c>
      <c r="H9" s="2">
        <f t="shared" si="1"/>
        <v>802</v>
      </c>
      <c r="I9" s="2">
        <v>140.0</v>
      </c>
      <c r="J9" s="22">
        <f>'All of 2025 Payback time'!L9</f>
        <v>627</v>
      </c>
      <c r="L9" s="2">
        <v>123.0</v>
      </c>
      <c r="M9" s="43">
        <f t="shared" si="2"/>
        <v>265.68</v>
      </c>
      <c r="N9" s="43">
        <f t="shared" si="3"/>
        <v>98.646</v>
      </c>
      <c r="O9" s="43">
        <f t="shared" si="4"/>
        <v>167.28</v>
      </c>
      <c r="Q9" s="22">
        <f t="shared" si="5"/>
        <v>17.22</v>
      </c>
      <c r="R9" s="22">
        <f t="shared" si="6"/>
        <v>113.898</v>
      </c>
      <c r="W9" s="43">
        <f t="shared" si="8"/>
        <v>0</v>
      </c>
    </row>
    <row r="10">
      <c r="A10" s="1" t="s">
        <v>45</v>
      </c>
      <c r="B10" s="2">
        <v>2150.0</v>
      </c>
      <c r="C10" s="2">
        <v>556.0</v>
      </c>
      <c r="D10" s="2">
        <v>1330.0</v>
      </c>
      <c r="E10" s="2">
        <v>261.0</v>
      </c>
      <c r="F10" s="2">
        <v>1080.0</v>
      </c>
      <c r="G10" s="2">
        <v>316.0</v>
      </c>
      <c r="H10" s="2">
        <f t="shared" si="1"/>
        <v>817</v>
      </c>
      <c r="I10" s="2">
        <v>251.0</v>
      </c>
      <c r="J10" s="22">
        <f>'All of 2025 Payback time'!L10</f>
        <v>790</v>
      </c>
      <c r="L10" s="2">
        <v>117.0</v>
      </c>
      <c r="M10" s="43">
        <f t="shared" si="2"/>
        <v>251.55</v>
      </c>
      <c r="N10" s="43">
        <f t="shared" si="3"/>
        <v>95.589</v>
      </c>
      <c r="O10" s="43">
        <f t="shared" si="4"/>
        <v>155.61</v>
      </c>
      <c r="Q10" s="22">
        <f t="shared" si="5"/>
        <v>29.367</v>
      </c>
      <c r="R10" s="22">
        <f t="shared" si="6"/>
        <v>126.36</v>
      </c>
      <c r="W10" s="43">
        <f t="shared" si="8"/>
        <v>0</v>
      </c>
    </row>
    <row r="11">
      <c r="A11" s="1" t="s">
        <v>46</v>
      </c>
      <c r="B11" s="2">
        <v>1630.0</v>
      </c>
      <c r="C11" s="2">
        <v>439.0</v>
      </c>
      <c r="D11" s="2">
        <v>940.0</v>
      </c>
      <c r="E11" s="2">
        <v>252.0</v>
      </c>
      <c r="F11" s="2">
        <v>1030.0</v>
      </c>
      <c r="G11" s="2">
        <v>328.0</v>
      </c>
      <c r="H11" s="2">
        <f t="shared" si="1"/>
        <v>691</v>
      </c>
      <c r="I11" s="2">
        <v>363.0</v>
      </c>
      <c r="J11" s="22">
        <f>'All of 2025 Payback time'!L11</f>
        <v>679</v>
      </c>
      <c r="L11" s="2">
        <v>98.0</v>
      </c>
      <c r="M11" s="43">
        <f t="shared" si="2"/>
        <v>159.74</v>
      </c>
      <c r="N11" s="43">
        <f t="shared" si="3"/>
        <v>67.718</v>
      </c>
      <c r="O11" s="43">
        <f t="shared" si="4"/>
        <v>92.12</v>
      </c>
      <c r="Q11" s="22">
        <f t="shared" si="5"/>
        <v>35.574</v>
      </c>
      <c r="R11" s="22">
        <f t="shared" si="6"/>
        <v>100.94</v>
      </c>
      <c r="W11" s="43">
        <f t="shared" si="8"/>
        <v>0</v>
      </c>
    </row>
    <row r="12">
      <c r="A12" s="1" t="s">
        <v>47</v>
      </c>
      <c r="B12" s="2">
        <v>783.0</v>
      </c>
      <c r="C12" s="2">
        <v>275.0</v>
      </c>
      <c r="D12" s="2">
        <v>325.0</v>
      </c>
      <c r="E12" s="2">
        <v>183.0</v>
      </c>
      <c r="F12" s="2">
        <v>1500.0</v>
      </c>
      <c r="G12" s="2">
        <v>402.0</v>
      </c>
      <c r="H12" s="2">
        <f t="shared" si="1"/>
        <v>458</v>
      </c>
      <c r="I12" s="2">
        <v>1063.0</v>
      </c>
      <c r="J12" s="22">
        <f>'All of 2025 Payback time'!L12</f>
        <v>1014</v>
      </c>
      <c r="L12" s="2">
        <v>128.0</v>
      </c>
      <c r="M12" s="43">
        <f t="shared" si="2"/>
        <v>100.224</v>
      </c>
      <c r="N12" s="43">
        <f t="shared" si="3"/>
        <v>58.624</v>
      </c>
      <c r="O12" s="43">
        <f t="shared" si="4"/>
        <v>41.6</v>
      </c>
      <c r="Q12" s="22">
        <f t="shared" si="5"/>
        <v>136.064</v>
      </c>
      <c r="R12" s="22">
        <f t="shared" si="6"/>
        <v>192</v>
      </c>
      <c r="T12" s="2" t="s">
        <v>70</v>
      </c>
      <c r="U12" s="2">
        <f t="shared" ref="U12:U14" si="9">J12-700</f>
        <v>314</v>
      </c>
      <c r="V12" s="2">
        <v>353.0</v>
      </c>
      <c r="W12" s="43">
        <f t="shared" si="8"/>
        <v>45.184</v>
      </c>
    </row>
    <row r="13">
      <c r="A13" s="1" t="s">
        <v>48</v>
      </c>
      <c r="B13" s="2">
        <v>364.0</v>
      </c>
      <c r="C13" s="2">
        <v>187.0</v>
      </c>
      <c r="D13" s="2">
        <v>70.0</v>
      </c>
      <c r="E13" s="2">
        <v>107.0</v>
      </c>
      <c r="F13" s="2">
        <v>1700.0</v>
      </c>
      <c r="G13" s="2">
        <v>374.0</v>
      </c>
      <c r="H13" s="2">
        <f t="shared" si="1"/>
        <v>294</v>
      </c>
      <c r="I13" s="2">
        <v>1421.0</v>
      </c>
      <c r="J13" s="22">
        <f>'All of 2025 Payback time'!L13</f>
        <v>1271</v>
      </c>
      <c r="L13" s="2">
        <v>197.0</v>
      </c>
      <c r="M13" s="43">
        <f t="shared" si="2"/>
        <v>71.708</v>
      </c>
      <c r="N13" s="43">
        <f t="shared" si="3"/>
        <v>57.918</v>
      </c>
      <c r="O13" s="43">
        <f t="shared" si="4"/>
        <v>13.79</v>
      </c>
      <c r="Q13" s="22">
        <f t="shared" si="5"/>
        <v>279.937</v>
      </c>
      <c r="R13" s="22">
        <f t="shared" si="6"/>
        <v>334.9</v>
      </c>
      <c r="T13" s="2" t="s">
        <v>70</v>
      </c>
      <c r="U13" s="2">
        <f t="shared" si="9"/>
        <v>571</v>
      </c>
      <c r="V13" s="2">
        <v>498.0</v>
      </c>
      <c r="W13" s="43">
        <f t="shared" si="8"/>
        <v>98.106</v>
      </c>
    </row>
    <row r="14">
      <c r="A14" s="1" t="s">
        <v>49</v>
      </c>
      <c r="B14" s="2">
        <v>225.0</v>
      </c>
      <c r="C14" s="2">
        <v>113.0</v>
      </c>
      <c r="D14" s="2">
        <v>26.0</v>
      </c>
      <c r="E14" s="2">
        <v>86.0</v>
      </c>
      <c r="F14" s="2">
        <v>1750.0</v>
      </c>
      <c r="G14" s="2">
        <v>366.0</v>
      </c>
      <c r="H14" s="2">
        <f t="shared" si="1"/>
        <v>199</v>
      </c>
      <c r="I14" s="2">
        <v>1555.0</v>
      </c>
      <c r="J14" s="22">
        <f>'All of 2025 Payback time'!L14</f>
        <v>1327</v>
      </c>
      <c r="L14" s="2">
        <v>187.0</v>
      </c>
      <c r="M14" s="43">
        <f t="shared" si="2"/>
        <v>42.075</v>
      </c>
      <c r="N14" s="43">
        <f t="shared" si="3"/>
        <v>37.213</v>
      </c>
      <c r="O14" s="43">
        <f t="shared" si="4"/>
        <v>4.862</v>
      </c>
      <c r="Q14" s="22">
        <f t="shared" si="5"/>
        <v>290.785</v>
      </c>
      <c r="R14" s="22">
        <f t="shared" si="6"/>
        <v>327.25</v>
      </c>
      <c r="T14" s="2" t="s">
        <v>70</v>
      </c>
      <c r="U14" s="2">
        <f t="shared" si="9"/>
        <v>627</v>
      </c>
      <c r="V14" s="2">
        <v>668.0</v>
      </c>
      <c r="W14" s="43">
        <f t="shared" si="8"/>
        <v>124.916</v>
      </c>
    </row>
    <row r="15">
      <c r="N15" s="43"/>
      <c r="O15" s="43"/>
      <c r="W15" s="43"/>
    </row>
    <row r="16">
      <c r="A16" s="1" t="s">
        <v>9</v>
      </c>
      <c r="B16" s="5">
        <f t="shared" ref="B16:H16" si="10">SUM(B3:B14)</f>
        <v>16276</v>
      </c>
      <c r="C16" s="5">
        <f t="shared" si="10"/>
        <v>4625</v>
      </c>
      <c r="D16" s="5">
        <f t="shared" si="10"/>
        <v>8877</v>
      </c>
      <c r="E16" s="5">
        <f t="shared" si="10"/>
        <v>2780</v>
      </c>
      <c r="F16" s="5">
        <f t="shared" si="10"/>
        <v>15653</v>
      </c>
      <c r="G16" s="5">
        <f t="shared" si="10"/>
        <v>4019</v>
      </c>
      <c r="H16" s="5">
        <f t="shared" si="10"/>
        <v>7405</v>
      </c>
      <c r="I16" s="5">
        <f t="shared" ref="I16:J16" si="11">SUM(I3:I6)</f>
        <v>3383</v>
      </c>
      <c r="J16" s="5">
        <f t="shared" si="11"/>
        <v>4005</v>
      </c>
      <c r="K16" s="5"/>
      <c r="L16" s="22">
        <f>AVERAGE(L3:L14)</f>
        <v>156</v>
      </c>
      <c r="M16" s="44">
        <f t="shared" ref="M16:O16" si="12">SUM(M3:M14)</f>
        <v>2231.661</v>
      </c>
      <c r="N16" s="44">
        <f t="shared" si="12"/>
        <v>1088.92</v>
      </c>
      <c r="O16" s="44">
        <f t="shared" si="12"/>
        <v>1144.081</v>
      </c>
      <c r="P16" s="44"/>
      <c r="Q16" s="44">
        <f t="shared" ref="Q16:R16" si="13">SUM(Q3:Q14)</f>
        <v>1513.121</v>
      </c>
      <c r="R16" s="44">
        <f t="shared" si="13"/>
        <v>2568.92</v>
      </c>
      <c r="S16" s="5"/>
      <c r="T16" s="5"/>
      <c r="U16" s="5"/>
      <c r="V16" s="5">
        <f t="shared" ref="V16:W16" si="14">SUM(V3:V14)</f>
        <v>4014</v>
      </c>
      <c r="W16" s="36">
        <f t="shared" si="14"/>
        <v>773.851</v>
      </c>
      <c r="X16" s="5"/>
      <c r="Y16" s="5"/>
      <c r="Z16" s="5"/>
      <c r="AA16" s="5"/>
      <c r="AB16" s="5"/>
      <c r="AC16" s="5"/>
      <c r="AD16" s="5"/>
      <c r="AE16" s="5"/>
      <c r="AF16" s="5"/>
    </row>
    <row r="17">
      <c r="G17" s="2"/>
      <c r="R17" s="43">
        <f>R16-Q16</f>
        <v>1055.799</v>
      </c>
      <c r="W17" s="2"/>
      <c r="X17" s="2">
        <v>3000.0</v>
      </c>
    </row>
    <row r="18">
      <c r="L18" s="45" t="s">
        <v>71</v>
      </c>
    </row>
    <row r="19">
      <c r="A19" s="1"/>
    </row>
    <row r="20">
      <c r="A20" s="1"/>
      <c r="B20" s="41"/>
    </row>
    <row r="21">
      <c r="A21" s="1"/>
    </row>
    <row r="22">
      <c r="A22" s="1"/>
      <c r="B22" s="42"/>
    </row>
    <row r="24">
      <c r="B24" s="42"/>
    </row>
    <row r="26">
      <c r="A26" s="2" t="s">
        <v>72</v>
      </c>
    </row>
    <row r="27">
      <c r="A27" s="1" t="s">
        <v>73</v>
      </c>
      <c r="B27" s="22">
        <f>(B15-G15)/10</f>
        <v>0</v>
      </c>
    </row>
    <row r="28">
      <c r="A28" s="1" t="s">
        <v>74</v>
      </c>
      <c r="B28" s="36" t="str">
        <f>B27*#REF!</f>
        <v>#REF!</v>
      </c>
    </row>
  </sheetData>
  <mergeCells count="2">
    <mergeCell ref="B1:E1"/>
    <mergeCell ref="F1:I1"/>
  </mergeCells>
  <hyperlinks>
    <hyperlink r:id="rId1" ref="L1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18.13"/>
    <col customWidth="1" min="8" max="8" width="9.75"/>
    <col customWidth="1" min="9" max="9" width="9.0"/>
    <col customWidth="1" min="10" max="10" width="13.88"/>
    <col customWidth="1" min="12" max="12" width="22.5"/>
    <col customWidth="1" min="14" max="14" width="22.38"/>
  </cols>
  <sheetData>
    <row r="1">
      <c r="A1" s="5"/>
      <c r="B1" s="1" t="s">
        <v>15</v>
      </c>
      <c r="C1" s="1" t="s">
        <v>19</v>
      </c>
      <c r="D1" s="1" t="s">
        <v>16</v>
      </c>
      <c r="E1" s="1" t="s">
        <v>75</v>
      </c>
      <c r="F1" s="1" t="s">
        <v>18</v>
      </c>
      <c r="G1" s="1" t="s">
        <v>20</v>
      </c>
      <c r="H1" s="1" t="s">
        <v>21</v>
      </c>
      <c r="I1" s="1" t="s">
        <v>76</v>
      </c>
      <c r="J1" s="1" t="s">
        <v>23</v>
      </c>
      <c r="K1" s="1" t="s">
        <v>24</v>
      </c>
      <c r="L1" s="1" t="s">
        <v>77</v>
      </c>
      <c r="M1" s="1" t="s">
        <v>27</v>
      </c>
      <c r="N1" s="1" t="s">
        <v>78</v>
      </c>
      <c r="O1" s="1" t="s">
        <v>79</v>
      </c>
      <c r="P1" s="1" t="s">
        <v>25</v>
      </c>
      <c r="Q1" s="1"/>
      <c r="R1" s="1" t="s">
        <v>80</v>
      </c>
      <c r="S1" s="1" t="s">
        <v>28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>
      <c r="A2" s="1" t="s">
        <v>35</v>
      </c>
      <c r="B2" s="2">
        <v>214.0</v>
      </c>
      <c r="C2" s="2">
        <v>1660.0</v>
      </c>
      <c r="D2" s="2">
        <v>198.0</v>
      </c>
      <c r="E2" s="2">
        <v>16.0</v>
      </c>
      <c r="F2" s="2">
        <v>0.0</v>
      </c>
      <c r="G2" s="2">
        <v>428.0</v>
      </c>
      <c r="H2" s="2">
        <f t="shared" ref="H2:H13" si="1">D2+F2</f>
        <v>198</v>
      </c>
      <c r="I2" s="15">
        <v>1030.0</v>
      </c>
      <c r="J2" s="2">
        <v>1478.0</v>
      </c>
      <c r="K2" s="2">
        <v>514.0</v>
      </c>
      <c r="L2" s="46">
        <v>1.87</v>
      </c>
      <c r="M2" s="20">
        <f t="shared" ref="M2:M3" si="2">J2*L2</f>
        <v>2763.86</v>
      </c>
      <c r="N2" s="21">
        <f t="shared" ref="N2:N13" si="3">L2-V2</f>
        <v>1.05</v>
      </c>
      <c r="O2" s="21">
        <f t="shared" ref="O2:O13" si="4">N2*J2</f>
        <v>1551.9</v>
      </c>
      <c r="P2" s="22">
        <f t="shared" ref="P2:P13" si="5">C2-K2</f>
        <v>1146</v>
      </c>
      <c r="S2" s="20">
        <f t="shared" ref="S2:S13" si="6">(N2+0.25)*H2</f>
        <v>257.4</v>
      </c>
      <c r="T2" s="2">
        <v>22.0</v>
      </c>
      <c r="V2" s="2">
        <v>0.82</v>
      </c>
      <c r="Y2" s="22" t="str">
        <f t="shared" ref="Y2:Y3" si="7">(E2*#REF!)+(0.5*J2)</f>
        <v>#REF!</v>
      </c>
      <c r="Z2" s="2" t="s">
        <v>88</v>
      </c>
    </row>
    <row r="3">
      <c r="A3" s="1" t="s">
        <v>37</v>
      </c>
      <c r="B3" s="2">
        <v>520.0</v>
      </c>
      <c r="C3" s="2">
        <v>1500.0</v>
      </c>
      <c r="D3" s="2">
        <v>15.0</v>
      </c>
      <c r="E3" s="2">
        <v>106.0</v>
      </c>
      <c r="F3" s="2">
        <v>398.0</v>
      </c>
      <c r="G3" s="2">
        <v>385.0</v>
      </c>
      <c r="H3" s="2">
        <f t="shared" si="1"/>
        <v>413</v>
      </c>
      <c r="I3" s="15">
        <v>1100.0</v>
      </c>
      <c r="J3" s="2">
        <v>1100.0</v>
      </c>
      <c r="K3" s="2">
        <v>450.0</v>
      </c>
      <c r="L3" s="46">
        <v>1.87</v>
      </c>
      <c r="M3" s="20">
        <f t="shared" si="2"/>
        <v>2057</v>
      </c>
      <c r="N3" s="21">
        <f t="shared" si="3"/>
        <v>1.05</v>
      </c>
      <c r="O3" s="21">
        <f t="shared" si="4"/>
        <v>1155</v>
      </c>
      <c r="P3" s="22">
        <f t="shared" si="5"/>
        <v>1050</v>
      </c>
      <c r="S3" s="20">
        <f t="shared" si="6"/>
        <v>536.9</v>
      </c>
      <c r="T3" s="2">
        <v>20.0</v>
      </c>
      <c r="V3" s="2">
        <v>0.82</v>
      </c>
      <c r="Y3" s="22" t="str">
        <f t="shared" si="7"/>
        <v>#REF!</v>
      </c>
      <c r="Z3" s="2" t="s">
        <v>88</v>
      </c>
    </row>
    <row r="4">
      <c r="A4" s="1" t="s">
        <v>38</v>
      </c>
      <c r="B4" s="2">
        <v>1480.0</v>
      </c>
      <c r="C4" s="2">
        <v>1350.0</v>
      </c>
      <c r="D4" s="2">
        <v>417.0</v>
      </c>
      <c r="E4" s="2">
        <v>669.0</v>
      </c>
      <c r="F4" s="2">
        <v>398.0</v>
      </c>
      <c r="G4" s="2">
        <v>382.0</v>
      </c>
      <c r="H4" s="2">
        <f t="shared" si="1"/>
        <v>815</v>
      </c>
      <c r="I4" s="15">
        <v>559.0</v>
      </c>
      <c r="J4" s="2">
        <v>563.0</v>
      </c>
      <c r="K4" s="2">
        <v>385.0</v>
      </c>
      <c r="L4" s="47">
        <f t="shared" ref="L4:L13" si="8">(M4-(7+19+24))/J4</f>
        <v>1.445825933</v>
      </c>
      <c r="M4" s="3">
        <v>864.0</v>
      </c>
      <c r="N4" s="25">
        <f t="shared" si="3"/>
        <v>0.6258259325</v>
      </c>
      <c r="O4" s="25">
        <f t="shared" si="4"/>
        <v>352.34</v>
      </c>
      <c r="P4" s="22">
        <f t="shared" si="5"/>
        <v>965</v>
      </c>
      <c r="S4" s="20">
        <f t="shared" si="6"/>
        <v>713.798135</v>
      </c>
      <c r="T4" s="2">
        <v>191.0</v>
      </c>
      <c r="V4" s="2">
        <v>0.82</v>
      </c>
    </row>
    <row r="5">
      <c r="A5" s="1" t="s">
        <v>40</v>
      </c>
      <c r="B5" s="2">
        <v>2040.0</v>
      </c>
      <c r="C5" s="2">
        <v>1300.0</v>
      </c>
      <c r="D5" s="2">
        <v>747.0</v>
      </c>
      <c r="E5" s="2">
        <v>975.0</v>
      </c>
      <c r="F5" s="2">
        <v>324.0</v>
      </c>
      <c r="G5" s="2">
        <v>315.0</v>
      </c>
      <c r="H5" s="2">
        <f t="shared" si="1"/>
        <v>1071</v>
      </c>
      <c r="I5" s="15">
        <v>238.0</v>
      </c>
      <c r="J5" s="2">
        <v>242.0</v>
      </c>
      <c r="K5" s="2">
        <v>456.0</v>
      </c>
      <c r="L5" s="47">
        <f t="shared" si="8"/>
        <v>1.334710744</v>
      </c>
      <c r="M5" s="3">
        <v>373.0</v>
      </c>
      <c r="N5" s="25">
        <f t="shared" si="3"/>
        <v>0.5147107438</v>
      </c>
      <c r="O5" s="25">
        <f t="shared" si="4"/>
        <v>124.56</v>
      </c>
      <c r="P5" s="22">
        <f t="shared" si="5"/>
        <v>844</v>
      </c>
      <c r="S5" s="20">
        <f t="shared" si="6"/>
        <v>819.0052066</v>
      </c>
      <c r="T5" s="2">
        <v>187.0</v>
      </c>
      <c r="U5" s="48"/>
      <c r="V5" s="2">
        <v>0.82</v>
      </c>
    </row>
    <row r="6">
      <c r="A6" s="1" t="s">
        <v>42</v>
      </c>
      <c r="B6" s="2">
        <v>2330.0</v>
      </c>
      <c r="C6" s="2">
        <v>857.0</v>
      </c>
      <c r="D6" s="2">
        <v>513.0</v>
      </c>
      <c r="E6" s="2">
        <v>1550.0</v>
      </c>
      <c r="F6" s="2">
        <v>264.0</v>
      </c>
      <c r="G6" s="2">
        <v>234.0</v>
      </c>
      <c r="H6" s="2">
        <f t="shared" si="1"/>
        <v>777</v>
      </c>
      <c r="I6" s="2">
        <v>134.0</v>
      </c>
      <c r="J6" s="2">
        <v>150.0</v>
      </c>
      <c r="K6" s="2">
        <v>245.0</v>
      </c>
      <c r="L6" s="47">
        <f t="shared" si="8"/>
        <v>1.706666667</v>
      </c>
      <c r="M6" s="3">
        <v>306.0</v>
      </c>
      <c r="N6" s="25">
        <f t="shared" si="3"/>
        <v>0.8866666667</v>
      </c>
      <c r="O6" s="25">
        <f t="shared" si="4"/>
        <v>133</v>
      </c>
      <c r="P6" s="22">
        <f t="shared" si="5"/>
        <v>612</v>
      </c>
      <c r="S6" s="20">
        <f t="shared" si="6"/>
        <v>883.19</v>
      </c>
      <c r="T6" s="2">
        <v>268.0</v>
      </c>
      <c r="V6" s="2">
        <v>0.82</v>
      </c>
      <c r="Y6" s="22" t="str">
        <f t="shared" ref="Y6:Y9" si="9">J6*1*#REF!-(T6/2)</f>
        <v>#REF!</v>
      </c>
      <c r="Z6" s="2" t="s">
        <v>89</v>
      </c>
    </row>
    <row r="7">
      <c r="A7" s="1" t="s">
        <v>43</v>
      </c>
      <c r="B7" s="2">
        <v>2380.0</v>
      </c>
      <c r="C7" s="2">
        <v>1000.0</v>
      </c>
      <c r="D7" s="2">
        <v>613.0</v>
      </c>
      <c r="E7" s="2">
        <v>1510.0</v>
      </c>
      <c r="F7" s="2">
        <v>257.0</v>
      </c>
      <c r="G7" s="2">
        <v>250.0</v>
      </c>
      <c r="H7" s="2">
        <f t="shared" si="1"/>
        <v>870</v>
      </c>
      <c r="I7" s="15">
        <v>143.0</v>
      </c>
      <c r="J7" s="2">
        <v>150.0</v>
      </c>
      <c r="K7" s="2">
        <v>339.0</v>
      </c>
      <c r="L7" s="47">
        <f t="shared" si="8"/>
        <v>1.84</v>
      </c>
      <c r="M7" s="3">
        <v>326.0</v>
      </c>
      <c r="N7" s="25">
        <f t="shared" si="3"/>
        <v>1.02</v>
      </c>
      <c r="O7" s="25">
        <f t="shared" si="4"/>
        <v>153</v>
      </c>
      <c r="P7" s="22">
        <f t="shared" si="5"/>
        <v>661</v>
      </c>
      <c r="S7" s="20">
        <f t="shared" si="6"/>
        <v>1104.9</v>
      </c>
      <c r="T7" s="2">
        <v>124.0</v>
      </c>
      <c r="V7" s="2">
        <v>0.82</v>
      </c>
      <c r="Y7" s="22" t="str">
        <f t="shared" si="9"/>
        <v>#REF!</v>
      </c>
      <c r="Z7" s="2" t="s">
        <v>89</v>
      </c>
    </row>
    <row r="8">
      <c r="A8" s="1" t="s">
        <v>44</v>
      </c>
      <c r="B8" s="2">
        <v>2160.0</v>
      </c>
      <c r="C8" s="2">
        <v>926.0</v>
      </c>
      <c r="D8" s="2">
        <v>552.0</v>
      </c>
      <c r="E8" s="2">
        <v>1360.0</v>
      </c>
      <c r="F8" s="2">
        <v>250.0</v>
      </c>
      <c r="G8" s="2">
        <v>239.0</v>
      </c>
      <c r="H8" s="2">
        <f t="shared" si="1"/>
        <v>802</v>
      </c>
      <c r="I8" s="15">
        <v>135.0</v>
      </c>
      <c r="J8" s="2">
        <v>140.0</v>
      </c>
      <c r="K8" s="2">
        <v>299.0</v>
      </c>
      <c r="L8" s="47">
        <f t="shared" si="8"/>
        <v>1.857142857</v>
      </c>
      <c r="M8" s="3">
        <v>310.0</v>
      </c>
      <c r="N8" s="25">
        <f t="shared" si="3"/>
        <v>1.037142857</v>
      </c>
      <c r="O8" s="25">
        <f t="shared" si="4"/>
        <v>145.2</v>
      </c>
      <c r="P8" s="22">
        <f t="shared" si="5"/>
        <v>627</v>
      </c>
      <c r="S8" s="20">
        <f t="shared" si="6"/>
        <v>1032.288571</v>
      </c>
      <c r="T8" s="2">
        <v>480.0</v>
      </c>
      <c r="V8" s="2">
        <v>0.82</v>
      </c>
      <c r="Y8" s="22" t="str">
        <f t="shared" si="9"/>
        <v>#REF!</v>
      </c>
      <c r="Z8" s="2" t="s">
        <v>89</v>
      </c>
    </row>
    <row r="9">
      <c r="A9" s="1" t="s">
        <v>45</v>
      </c>
      <c r="B9" s="2">
        <v>2150.0</v>
      </c>
      <c r="C9" s="2">
        <v>1080.0</v>
      </c>
      <c r="D9" s="2">
        <v>556.0</v>
      </c>
      <c r="E9" s="2">
        <v>1330.0</v>
      </c>
      <c r="F9" s="2">
        <v>261.0</v>
      </c>
      <c r="G9" s="2">
        <v>316.0</v>
      </c>
      <c r="H9" s="2">
        <f t="shared" si="1"/>
        <v>817</v>
      </c>
      <c r="I9" s="15">
        <v>163.0</v>
      </c>
      <c r="J9" s="2">
        <v>251.0</v>
      </c>
      <c r="K9" s="2">
        <v>290.0</v>
      </c>
      <c r="L9" s="47">
        <f t="shared" si="8"/>
        <v>1.717131474</v>
      </c>
      <c r="M9" s="3">
        <v>481.0</v>
      </c>
      <c r="N9" s="25">
        <f t="shared" si="3"/>
        <v>0.8971314741</v>
      </c>
      <c r="O9" s="25">
        <f t="shared" si="4"/>
        <v>225.18</v>
      </c>
      <c r="P9" s="22">
        <f t="shared" si="5"/>
        <v>790</v>
      </c>
      <c r="S9" s="20">
        <f t="shared" si="6"/>
        <v>937.2064143</v>
      </c>
      <c r="T9" s="2">
        <v>263.0</v>
      </c>
      <c r="V9" s="2">
        <v>0.82</v>
      </c>
      <c r="Y9" s="22" t="str">
        <f t="shared" si="9"/>
        <v>#REF!</v>
      </c>
      <c r="Z9" s="2" t="s">
        <v>89</v>
      </c>
    </row>
    <row r="10">
      <c r="A10" s="1" t="s">
        <v>46</v>
      </c>
      <c r="B10" s="2">
        <v>1630.0</v>
      </c>
      <c r="C10" s="2">
        <v>1030.0</v>
      </c>
      <c r="D10" s="2">
        <v>439.0</v>
      </c>
      <c r="E10" s="2">
        <v>940.0</v>
      </c>
      <c r="F10" s="2">
        <v>252.0</v>
      </c>
      <c r="G10" s="2">
        <v>328.0</v>
      </c>
      <c r="H10" s="2">
        <f t="shared" si="1"/>
        <v>691</v>
      </c>
      <c r="I10" s="15">
        <v>267.0</v>
      </c>
      <c r="J10" s="2">
        <v>363.0</v>
      </c>
      <c r="K10" s="2">
        <v>351.0</v>
      </c>
      <c r="L10" s="47">
        <f t="shared" si="8"/>
        <v>2.280991736</v>
      </c>
      <c r="M10" s="3">
        <f>635+243</f>
        <v>878</v>
      </c>
      <c r="N10" s="25">
        <f t="shared" si="3"/>
        <v>1.460991736</v>
      </c>
      <c r="O10" s="25">
        <f t="shared" si="4"/>
        <v>530.34</v>
      </c>
      <c r="P10" s="22">
        <f t="shared" si="5"/>
        <v>679</v>
      </c>
      <c r="Q10" s="1"/>
      <c r="S10" s="20">
        <f t="shared" si="6"/>
        <v>1182.295289</v>
      </c>
      <c r="T10" s="2">
        <v>276.0</v>
      </c>
      <c r="V10" s="2">
        <v>0.82</v>
      </c>
      <c r="Y10" s="22" t="str">
        <f>J10*0.7*#REF!</f>
        <v>#REF!</v>
      </c>
      <c r="Z10" s="2" t="s">
        <v>90</v>
      </c>
    </row>
    <row r="11">
      <c r="A11" s="1" t="s">
        <v>47</v>
      </c>
      <c r="B11" s="2">
        <v>783.0</v>
      </c>
      <c r="C11" s="2">
        <v>1500.0</v>
      </c>
      <c r="D11" s="2">
        <v>275.0</v>
      </c>
      <c r="E11" s="2">
        <v>325.0</v>
      </c>
      <c r="F11" s="2">
        <v>183.0</v>
      </c>
      <c r="G11" s="2">
        <v>402.0</v>
      </c>
      <c r="H11" s="2">
        <f t="shared" si="1"/>
        <v>458</v>
      </c>
      <c r="I11" s="15">
        <v>824.0</v>
      </c>
      <c r="J11" s="2">
        <v>1063.0</v>
      </c>
      <c r="K11" s="2">
        <v>486.0</v>
      </c>
      <c r="L11" s="47">
        <f t="shared" si="8"/>
        <v>2.100432738</v>
      </c>
      <c r="M11" s="3">
        <v>2282.76</v>
      </c>
      <c r="N11" s="25">
        <f t="shared" si="3"/>
        <v>1.280432738</v>
      </c>
      <c r="O11" s="25">
        <f t="shared" si="4"/>
        <v>1361.1</v>
      </c>
      <c r="P11" s="22">
        <f t="shared" si="5"/>
        <v>1014</v>
      </c>
      <c r="S11" s="20">
        <f t="shared" si="6"/>
        <v>700.9381938</v>
      </c>
      <c r="T11" s="2">
        <v>163.0</v>
      </c>
      <c r="V11" s="2">
        <v>0.82</v>
      </c>
      <c r="Y11" s="22" t="str">
        <f>J11*0.5*#REF!</f>
        <v>#REF!</v>
      </c>
      <c r="Z11" s="2" t="s">
        <v>91</v>
      </c>
    </row>
    <row r="12">
      <c r="A12" s="1" t="s">
        <v>48</v>
      </c>
      <c r="B12" s="2">
        <v>364.0</v>
      </c>
      <c r="C12" s="2">
        <v>1700.0</v>
      </c>
      <c r="D12" s="2">
        <v>187.0</v>
      </c>
      <c r="E12" s="2">
        <v>70.0</v>
      </c>
      <c r="F12" s="2">
        <v>107.0</v>
      </c>
      <c r="G12" s="2">
        <v>374.0</v>
      </c>
      <c r="H12" s="2">
        <f t="shared" si="1"/>
        <v>294</v>
      </c>
      <c r="I12" s="15">
        <v>1140.0</v>
      </c>
      <c r="J12" s="2">
        <v>1421.0</v>
      </c>
      <c r="K12" s="2">
        <v>429.0</v>
      </c>
      <c r="L12" s="47">
        <f t="shared" si="8"/>
        <v>1.478930331</v>
      </c>
      <c r="M12" s="3">
        <v>2151.56</v>
      </c>
      <c r="N12" s="25">
        <f t="shared" si="3"/>
        <v>0.6589303308</v>
      </c>
      <c r="O12" s="25">
        <f t="shared" si="4"/>
        <v>936.34</v>
      </c>
      <c r="P12" s="22">
        <f t="shared" si="5"/>
        <v>1271</v>
      </c>
      <c r="S12" s="20">
        <f t="shared" si="6"/>
        <v>267.2255172</v>
      </c>
      <c r="T12" s="2"/>
      <c r="V12" s="2">
        <v>0.82</v>
      </c>
      <c r="Y12" s="22" t="str">
        <f t="shared" ref="Y12:Y13" si="10">(E12*#REF!)+(0.5*J12)</f>
        <v>#REF!</v>
      </c>
      <c r="Z12" s="2" t="s">
        <v>88</v>
      </c>
    </row>
    <row r="13">
      <c r="A13" s="1" t="s">
        <v>49</v>
      </c>
      <c r="B13" s="2">
        <v>225.0</v>
      </c>
      <c r="C13" s="2">
        <v>1750.0</v>
      </c>
      <c r="D13" s="2">
        <v>113.0</v>
      </c>
      <c r="E13" s="2">
        <v>26.0</v>
      </c>
      <c r="F13" s="2">
        <v>86.0</v>
      </c>
      <c r="G13" s="2">
        <v>366.0</v>
      </c>
      <c r="H13" s="2">
        <f t="shared" si="1"/>
        <v>199</v>
      </c>
      <c r="I13" s="15">
        <v>1270.0</v>
      </c>
      <c r="J13" s="2">
        <v>1555.0</v>
      </c>
      <c r="K13" s="2">
        <v>423.0</v>
      </c>
      <c r="L13" s="47">
        <f t="shared" si="8"/>
        <v>1.351485531</v>
      </c>
      <c r="M13" s="3">
        <v>2151.56</v>
      </c>
      <c r="N13" s="25">
        <f t="shared" si="3"/>
        <v>0.5314855305</v>
      </c>
      <c r="O13" s="25">
        <f t="shared" si="4"/>
        <v>826.46</v>
      </c>
      <c r="P13" s="22">
        <f t="shared" si="5"/>
        <v>1327</v>
      </c>
      <c r="S13" s="20">
        <f t="shared" si="6"/>
        <v>155.5156206</v>
      </c>
      <c r="V13" s="2">
        <v>0.82</v>
      </c>
      <c r="Y13" s="22" t="str">
        <f t="shared" si="10"/>
        <v>#REF!</v>
      </c>
      <c r="Z13" s="2" t="s">
        <v>88</v>
      </c>
    </row>
    <row r="14">
      <c r="I14" s="27"/>
      <c r="M14" s="20"/>
      <c r="S14" s="20"/>
    </row>
    <row r="15">
      <c r="I15" s="27"/>
      <c r="M15" s="20"/>
      <c r="S15" s="20"/>
    </row>
    <row r="16">
      <c r="A16" s="1" t="s">
        <v>9</v>
      </c>
      <c r="B16" s="5">
        <f t="shared" ref="B16:H16" si="11">SUM(B2:B13)</f>
        <v>16276</v>
      </c>
      <c r="C16" s="5">
        <f t="shared" si="11"/>
        <v>15653</v>
      </c>
      <c r="D16" s="5">
        <f t="shared" si="11"/>
        <v>4625</v>
      </c>
      <c r="E16" s="5">
        <f t="shared" si="11"/>
        <v>8877</v>
      </c>
      <c r="F16" s="5">
        <f t="shared" si="11"/>
        <v>2780</v>
      </c>
      <c r="G16" s="5">
        <f t="shared" si="11"/>
        <v>4019</v>
      </c>
      <c r="H16" s="5">
        <f t="shared" si="11"/>
        <v>7405</v>
      </c>
      <c r="I16" s="49">
        <f t="shared" ref="I16:K16" si="12">SUM(I2:I5)</f>
        <v>2927</v>
      </c>
      <c r="J16" s="5">
        <f t="shared" si="12"/>
        <v>3383</v>
      </c>
      <c r="K16" s="5">
        <f t="shared" si="12"/>
        <v>1805</v>
      </c>
      <c r="L16" s="34"/>
      <c r="M16" s="6">
        <f>SUM(M2:M13)</f>
        <v>14944.74</v>
      </c>
      <c r="N16" s="34"/>
      <c r="O16" s="34">
        <f t="shared" ref="O16:P16" si="13">SUM(O2:O5)</f>
        <v>3183.8</v>
      </c>
      <c r="P16" s="34">
        <f t="shared" si="13"/>
        <v>4005</v>
      </c>
      <c r="Q16" s="34"/>
      <c r="R16" s="5"/>
      <c r="S16" s="6">
        <f t="shared" ref="S16:T16" si="14">SUM(S2:S13)</f>
        <v>8590.662948</v>
      </c>
      <c r="T16" s="6">
        <f t="shared" si="14"/>
        <v>1994</v>
      </c>
      <c r="U16" s="35">
        <f>S16+T16</f>
        <v>10584.66295</v>
      </c>
      <c r="V16" s="5"/>
      <c r="W16" s="5"/>
      <c r="X16" s="5"/>
      <c r="Y16" s="5" t="str">
        <f>SUM(Y2:Y5)</f>
        <v>#REF!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>
      <c r="B17" s="2">
        <v>11000.0</v>
      </c>
      <c r="C17" s="2">
        <v>14500.0</v>
      </c>
      <c r="G17" s="2"/>
      <c r="H17" s="2" t="s">
        <v>92</v>
      </c>
      <c r="I17" s="27"/>
      <c r="J17" s="2" t="s">
        <v>93</v>
      </c>
      <c r="K17" s="2" t="s">
        <v>93</v>
      </c>
      <c r="L17" s="38">
        <f>AVERAGE(L2:L3)</f>
        <v>1.87</v>
      </c>
      <c r="M17" s="3">
        <f>M16/9</f>
        <v>1660.526667</v>
      </c>
      <c r="N17" s="2"/>
      <c r="O17" s="2"/>
      <c r="P17" s="2" t="s">
        <v>93</v>
      </c>
      <c r="Q17" s="2"/>
      <c r="S17" s="20"/>
    </row>
    <row r="18">
      <c r="S18" s="39" t="s">
        <v>94</v>
      </c>
    </row>
    <row r="19">
      <c r="A19" s="1" t="s">
        <v>51</v>
      </c>
      <c r="B19" s="2">
        <v>155000.0</v>
      </c>
    </row>
    <row r="20">
      <c r="A20" s="1" t="s">
        <v>52</v>
      </c>
      <c r="B20" s="41">
        <f>B19/U16</f>
        <v>14.64382954</v>
      </c>
    </row>
    <row r="21">
      <c r="A21" s="1"/>
    </row>
    <row r="22">
      <c r="A22" s="1"/>
      <c r="B22" s="42"/>
    </row>
    <row r="24">
      <c r="B24" s="42"/>
    </row>
    <row r="26">
      <c r="A26" s="2" t="s">
        <v>72</v>
      </c>
    </row>
    <row r="27">
      <c r="A27" s="1" t="s">
        <v>73</v>
      </c>
      <c r="B27" s="22">
        <f>(B15-G15)/10</f>
        <v>0</v>
      </c>
    </row>
    <row r="28">
      <c r="A28" s="1" t="s">
        <v>74</v>
      </c>
      <c r="B28" s="36" t="str">
        <f>B27*#REF!</f>
        <v>#REF!</v>
      </c>
    </row>
  </sheetData>
  <mergeCells count="1">
    <mergeCell ref="S18:U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4.75" customHeight="1"/>
    <row r="3" ht="22.5" customHeight="1">
      <c r="A3" s="50" t="s">
        <v>95</v>
      </c>
      <c r="B3" s="50" t="s">
        <v>15</v>
      </c>
      <c r="C3" s="50" t="s">
        <v>19</v>
      </c>
    </row>
    <row r="4" ht="22.5" customHeight="1">
      <c r="A4" s="51" t="s">
        <v>35</v>
      </c>
      <c r="B4" s="52">
        <v>214.0</v>
      </c>
      <c r="C4" s="52">
        <v>1660.0</v>
      </c>
    </row>
    <row r="5" ht="22.5" customHeight="1">
      <c r="A5" s="51" t="s">
        <v>37</v>
      </c>
      <c r="B5" s="52">
        <v>520.0</v>
      </c>
      <c r="C5" s="52">
        <v>1500.0</v>
      </c>
    </row>
    <row r="6" ht="22.5" customHeight="1">
      <c r="A6" s="51" t="s">
        <v>38</v>
      </c>
      <c r="B6" s="52">
        <v>1480.0</v>
      </c>
      <c r="C6" s="52">
        <v>1350.0</v>
      </c>
    </row>
    <row r="7" ht="22.5" customHeight="1">
      <c r="A7" s="51" t="s">
        <v>40</v>
      </c>
      <c r="B7" s="52">
        <v>2040.0</v>
      </c>
      <c r="C7" s="52">
        <v>1300.0</v>
      </c>
    </row>
    <row r="8" ht="22.5" customHeight="1">
      <c r="A8" s="51" t="s">
        <v>42</v>
      </c>
      <c r="B8" s="52">
        <v>2330.0</v>
      </c>
      <c r="C8" s="52">
        <v>857.0</v>
      </c>
    </row>
    <row r="9" ht="22.5" customHeight="1">
      <c r="A9" s="51" t="s">
        <v>43</v>
      </c>
      <c r="B9" s="52">
        <v>2380.0</v>
      </c>
      <c r="C9" s="52">
        <v>1000.0</v>
      </c>
    </row>
    <row r="10" ht="22.5" customHeight="1">
      <c r="A10" s="51" t="s">
        <v>44</v>
      </c>
      <c r="B10" s="52">
        <v>2160.0</v>
      </c>
      <c r="C10" s="52">
        <v>926.0</v>
      </c>
    </row>
    <row r="11" ht="22.5" customHeight="1">
      <c r="A11" s="51" t="s">
        <v>45</v>
      </c>
      <c r="B11" s="52">
        <v>2150.0</v>
      </c>
      <c r="C11" s="52">
        <v>1080.0</v>
      </c>
    </row>
    <row r="12" ht="22.5" customHeight="1">
      <c r="A12" s="51" t="s">
        <v>46</v>
      </c>
      <c r="B12" s="52">
        <v>1630.0</v>
      </c>
      <c r="C12" s="52">
        <v>1030.0</v>
      </c>
    </row>
    <row r="13" ht="22.5" customHeight="1">
      <c r="A13" s="51" t="s">
        <v>47</v>
      </c>
      <c r="B13" s="52">
        <v>783.0</v>
      </c>
      <c r="C13" s="52">
        <v>1500.0</v>
      </c>
    </row>
    <row r="14" ht="22.5" customHeight="1">
      <c r="A14" s="51" t="s">
        <v>48</v>
      </c>
      <c r="B14" s="52">
        <v>364.0</v>
      </c>
      <c r="C14" s="52">
        <v>1700.0</v>
      </c>
    </row>
    <row r="15" ht="22.5" customHeight="1">
      <c r="A15" s="51" t="s">
        <v>49</v>
      </c>
      <c r="B15" s="52">
        <v>225.0</v>
      </c>
      <c r="C15" s="52">
        <v>1750.0</v>
      </c>
    </row>
  </sheetData>
  <dataValidations>
    <dataValidation type="custom" allowBlank="1" showDropDown="1" sqref="B4:C1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22.0"/>
    <col customWidth="1" min="2" max="2" width="10.63"/>
    <col customWidth="1" min="3" max="7" width="9.13"/>
    <col customWidth="1" min="8" max="8" width="4.5"/>
    <col customWidth="1" min="9" max="9" width="11.38"/>
    <col customWidth="1" min="10" max="10" width="3.63"/>
    <col customWidth="1" min="11" max="11" width="11.63"/>
    <col customWidth="1" min="12" max="12" width="12.13"/>
    <col customWidth="1" min="13" max="14" width="10.5"/>
    <col customWidth="1" min="15" max="15" width="8.75"/>
    <col customWidth="1" min="16" max="16" width="11.5"/>
    <col customWidth="1" min="17" max="17" width="10.38"/>
    <col customWidth="1" min="18" max="18" width="16.88"/>
    <col customWidth="1" min="19" max="19" width="12.5"/>
    <col customWidth="1" min="20" max="20" width="16.38"/>
    <col customWidth="1" min="21" max="21" width="13.75"/>
    <col customWidth="1" min="22" max="23" width="14.5"/>
  </cols>
  <sheetData>
    <row r="2">
      <c r="A2" s="5"/>
      <c r="B2" s="1" t="s">
        <v>15</v>
      </c>
      <c r="C2" s="1" t="s">
        <v>96</v>
      </c>
      <c r="D2" s="1" t="s">
        <v>19</v>
      </c>
      <c r="E2" s="1" t="s">
        <v>16</v>
      </c>
      <c r="F2" s="1" t="s">
        <v>5</v>
      </c>
      <c r="G2" s="1" t="s">
        <v>21</v>
      </c>
      <c r="H2" s="1" t="s">
        <v>76</v>
      </c>
      <c r="I2" s="1" t="s">
        <v>97</v>
      </c>
      <c r="J2" s="1" t="s">
        <v>98</v>
      </c>
      <c r="K2" s="1" t="s">
        <v>24</v>
      </c>
      <c r="L2" s="1" t="s">
        <v>99</v>
      </c>
      <c r="M2" s="1" t="s">
        <v>100</v>
      </c>
      <c r="N2" s="1" t="s">
        <v>27</v>
      </c>
      <c r="O2" s="1" t="s">
        <v>101</v>
      </c>
      <c r="P2" s="1" t="s">
        <v>25</v>
      </c>
      <c r="Q2" s="1" t="s">
        <v>28</v>
      </c>
      <c r="R2" s="1" t="s">
        <v>81</v>
      </c>
      <c r="S2" s="1" t="s">
        <v>82</v>
      </c>
      <c r="T2" s="1"/>
      <c r="U2" s="1" t="s">
        <v>80</v>
      </c>
      <c r="V2" s="1" t="s">
        <v>85</v>
      </c>
      <c r="W2" s="1" t="s">
        <v>86</v>
      </c>
      <c r="X2" s="1" t="s">
        <v>87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>
      <c r="A3" s="1" t="s">
        <v>42</v>
      </c>
      <c r="B3" s="2">
        <v>823.0</v>
      </c>
      <c r="C3" s="2">
        <v>1.4</v>
      </c>
      <c r="D3" s="2">
        <v>1010.0</v>
      </c>
      <c r="E3" s="2">
        <v>577.0</v>
      </c>
      <c r="F3" s="2">
        <v>245.0</v>
      </c>
      <c r="G3" s="2">
        <f t="shared" ref="G3:G13" si="1">E3+F3</f>
        <v>822</v>
      </c>
      <c r="H3" s="15">
        <v>193.0</v>
      </c>
      <c r="I3" s="2">
        <v>199.0</v>
      </c>
      <c r="J3" s="53">
        <f t="shared" ref="J3:J12" si="2">I3-H3</f>
        <v>6</v>
      </c>
      <c r="K3" s="22">
        <f>0.8*363</f>
        <v>290.4</v>
      </c>
      <c r="L3" s="2">
        <v>2.48</v>
      </c>
      <c r="M3" s="2">
        <v>2.6</v>
      </c>
      <c r="N3" s="20">
        <f t="shared" ref="N3:N13" si="3">I3*M3</f>
        <v>517.4</v>
      </c>
      <c r="P3" s="22">
        <f t="shared" ref="P3:P13" si="4">D3-K3</f>
        <v>719.6</v>
      </c>
      <c r="Q3" s="20">
        <f t="shared" ref="Q3:Q13" si="5">L3*G3</f>
        <v>2038.56</v>
      </c>
      <c r="R3" s="54">
        <v>250.0</v>
      </c>
      <c r="W3" s="22">
        <f t="shared" ref="W3:W6" si="6">I3*1*L3-(R3/2)</f>
        <v>368.52</v>
      </c>
      <c r="X3" s="2" t="s">
        <v>89</v>
      </c>
    </row>
    <row r="4">
      <c r="A4" s="1" t="s">
        <v>43</v>
      </c>
      <c r="B4" s="2">
        <v>757.0</v>
      </c>
      <c r="C4" s="2">
        <v>0.8</v>
      </c>
      <c r="D4" s="2">
        <v>940.0</v>
      </c>
      <c r="E4" s="2">
        <v>530.0</v>
      </c>
      <c r="F4" s="2">
        <v>226.0</v>
      </c>
      <c r="G4" s="2">
        <f t="shared" si="1"/>
        <v>756</v>
      </c>
      <c r="H4" s="15">
        <v>182.0</v>
      </c>
      <c r="I4" s="2">
        <v>187.0</v>
      </c>
      <c r="J4" s="53">
        <f t="shared" si="2"/>
        <v>5</v>
      </c>
      <c r="K4" s="22">
        <f>0.8*400</f>
        <v>320</v>
      </c>
      <c r="L4" s="2">
        <v>2.48</v>
      </c>
      <c r="M4" s="2">
        <v>2.6</v>
      </c>
      <c r="N4" s="20">
        <f t="shared" si="3"/>
        <v>486.2</v>
      </c>
      <c r="P4" s="22">
        <f t="shared" si="4"/>
        <v>620</v>
      </c>
      <c r="Q4" s="20">
        <f t="shared" si="5"/>
        <v>1874.88</v>
      </c>
      <c r="R4" s="54">
        <v>250.0</v>
      </c>
      <c r="W4" s="22">
        <f t="shared" si="6"/>
        <v>338.76</v>
      </c>
      <c r="X4" s="2" t="s">
        <v>89</v>
      </c>
    </row>
    <row r="5">
      <c r="A5" s="1" t="s">
        <v>44</v>
      </c>
      <c r="B5" s="2">
        <v>2000.0</v>
      </c>
      <c r="C5" s="2">
        <v>1300.0</v>
      </c>
      <c r="D5" s="2">
        <v>867.0</v>
      </c>
      <c r="E5" s="2">
        <v>485.0</v>
      </c>
      <c r="F5" s="2">
        <v>210.0</v>
      </c>
      <c r="G5" s="2">
        <f t="shared" si="1"/>
        <v>695</v>
      </c>
      <c r="H5" s="15">
        <v>172.0</v>
      </c>
      <c r="I5" s="2">
        <v>287.0</v>
      </c>
      <c r="J5" s="53">
        <f t="shared" si="2"/>
        <v>115</v>
      </c>
      <c r="K5" s="2">
        <v>325.0</v>
      </c>
      <c r="L5" s="2">
        <v>2.59</v>
      </c>
      <c r="M5" s="2">
        <v>2.6</v>
      </c>
      <c r="N5" s="20">
        <f t="shared" si="3"/>
        <v>746.2</v>
      </c>
      <c r="P5" s="22">
        <f t="shared" si="4"/>
        <v>542</v>
      </c>
      <c r="Q5" s="20">
        <f t="shared" si="5"/>
        <v>1800.05</v>
      </c>
      <c r="R5" s="2">
        <v>223.0</v>
      </c>
      <c r="W5" s="22">
        <f t="shared" si="6"/>
        <v>631.83</v>
      </c>
      <c r="X5" s="2" t="s">
        <v>89</v>
      </c>
    </row>
    <row r="6">
      <c r="A6" s="1" t="s">
        <v>45</v>
      </c>
      <c r="B6" s="2">
        <v>2070.0</v>
      </c>
      <c r="C6" s="2">
        <v>1360.0</v>
      </c>
      <c r="D6" s="2">
        <v>1110.0</v>
      </c>
      <c r="E6" s="2">
        <v>484.0</v>
      </c>
      <c r="F6" s="2">
        <v>224.0</v>
      </c>
      <c r="G6" s="2">
        <f t="shared" si="1"/>
        <v>708</v>
      </c>
      <c r="H6" s="15">
        <v>403.0</v>
      </c>
      <c r="I6" s="2">
        <v>407.0</v>
      </c>
      <c r="J6" s="53">
        <f t="shared" si="2"/>
        <v>4</v>
      </c>
      <c r="K6" s="22">
        <f>0.8*520</f>
        <v>416</v>
      </c>
      <c r="L6" s="2">
        <v>2.59</v>
      </c>
      <c r="M6" s="2">
        <v>2.46</v>
      </c>
      <c r="N6" s="20">
        <f t="shared" si="3"/>
        <v>1001.22</v>
      </c>
      <c r="P6" s="22">
        <f t="shared" si="4"/>
        <v>694</v>
      </c>
      <c r="Q6" s="20">
        <f t="shared" si="5"/>
        <v>1833.72</v>
      </c>
      <c r="R6" s="2">
        <v>401.0</v>
      </c>
      <c r="W6" s="22">
        <f t="shared" si="6"/>
        <v>853.63</v>
      </c>
      <c r="X6" s="2" t="s">
        <v>89</v>
      </c>
    </row>
    <row r="7">
      <c r="A7" s="1" t="s">
        <v>46</v>
      </c>
      <c r="B7" s="2">
        <v>1510.0</v>
      </c>
      <c r="C7" s="2">
        <v>869.0</v>
      </c>
      <c r="D7" s="2">
        <v>1100.0</v>
      </c>
      <c r="E7" s="2">
        <v>437.0</v>
      </c>
      <c r="F7" s="2">
        <v>203.0</v>
      </c>
      <c r="G7" s="2">
        <f t="shared" si="1"/>
        <v>640</v>
      </c>
      <c r="H7" s="15">
        <v>460.0</v>
      </c>
      <c r="I7" s="2">
        <v>463.0</v>
      </c>
      <c r="J7" s="53">
        <f t="shared" si="2"/>
        <v>3</v>
      </c>
      <c r="K7" s="22">
        <f>0.8*472</f>
        <v>377.6</v>
      </c>
      <c r="L7" s="2">
        <v>2.59</v>
      </c>
      <c r="M7" s="2">
        <v>2.4</v>
      </c>
      <c r="N7" s="20">
        <f t="shared" si="3"/>
        <v>1111.2</v>
      </c>
      <c r="P7" s="22">
        <f t="shared" si="4"/>
        <v>722.4</v>
      </c>
      <c r="Q7" s="20">
        <f t="shared" si="5"/>
        <v>1657.6</v>
      </c>
      <c r="R7" s="2">
        <v>228.0</v>
      </c>
      <c r="W7" s="22">
        <f>I7*0.7*L7</f>
        <v>839.419</v>
      </c>
      <c r="X7" s="2" t="s">
        <v>90</v>
      </c>
    </row>
    <row r="8">
      <c r="A8" s="1" t="s">
        <v>47</v>
      </c>
      <c r="B8" s="2">
        <v>938.0</v>
      </c>
      <c r="C8" s="2">
        <v>432.0</v>
      </c>
      <c r="D8" s="2">
        <v>1080.0</v>
      </c>
      <c r="E8" s="2">
        <v>408.0</v>
      </c>
      <c r="F8" s="2">
        <v>107.0</v>
      </c>
      <c r="G8" s="2">
        <f t="shared" si="1"/>
        <v>515</v>
      </c>
      <c r="H8" s="15">
        <v>573.0</v>
      </c>
      <c r="I8" s="2">
        <v>577.0</v>
      </c>
      <c r="J8" s="53">
        <f t="shared" si="2"/>
        <v>4</v>
      </c>
      <c r="K8" s="2">
        <v>311.0</v>
      </c>
      <c r="L8" s="2">
        <v>2.9</v>
      </c>
      <c r="M8" s="2">
        <v>2.5</v>
      </c>
      <c r="N8" s="20">
        <f t="shared" si="3"/>
        <v>1442.5</v>
      </c>
      <c r="P8" s="22">
        <f t="shared" si="4"/>
        <v>769</v>
      </c>
      <c r="Q8" s="20">
        <f t="shared" si="5"/>
        <v>1493.5</v>
      </c>
      <c r="R8" s="2">
        <v>159.0</v>
      </c>
      <c r="W8" s="22">
        <f>I8*0.5*L8</f>
        <v>836.65</v>
      </c>
      <c r="X8" s="2" t="s">
        <v>91</v>
      </c>
    </row>
    <row r="9">
      <c r="A9" s="1" t="s">
        <v>48</v>
      </c>
      <c r="B9" s="2">
        <v>272.0</v>
      </c>
      <c r="C9" s="2">
        <v>23.0</v>
      </c>
      <c r="D9" s="2">
        <v>1470.0</v>
      </c>
      <c r="E9" s="2">
        <v>249.0</v>
      </c>
      <c r="F9" s="2">
        <v>357.0</v>
      </c>
      <c r="G9" s="2">
        <f t="shared" si="1"/>
        <v>606</v>
      </c>
      <c r="H9" s="15">
        <v>866.0</v>
      </c>
      <c r="I9" s="2">
        <v>1250.0</v>
      </c>
      <c r="J9" s="53">
        <f t="shared" si="2"/>
        <v>384</v>
      </c>
      <c r="K9" s="2">
        <v>397.0</v>
      </c>
      <c r="L9" s="2">
        <v>2.9</v>
      </c>
      <c r="M9" s="2">
        <v>2.08</v>
      </c>
      <c r="N9" s="20">
        <f t="shared" si="3"/>
        <v>2600</v>
      </c>
      <c r="P9" s="22">
        <f t="shared" si="4"/>
        <v>1073</v>
      </c>
      <c r="Q9" s="20">
        <f t="shared" si="5"/>
        <v>1757.4</v>
      </c>
      <c r="R9" s="54">
        <v>60.0</v>
      </c>
      <c r="W9" s="22">
        <f t="shared" ref="W9:W12" si="7">(C9*L9)+(0.5*I9)</f>
        <v>691.7</v>
      </c>
      <c r="X9" s="2" t="s">
        <v>88</v>
      </c>
    </row>
    <row r="10">
      <c r="A10" s="1" t="s">
        <v>49</v>
      </c>
      <c r="B10" s="2">
        <v>156.0</v>
      </c>
      <c r="C10" s="2">
        <v>5.0</v>
      </c>
      <c r="D10" s="2">
        <v>1480.0</v>
      </c>
      <c r="E10" s="2">
        <v>152.0</v>
      </c>
      <c r="F10" s="2">
        <v>386.0</v>
      </c>
      <c r="G10" s="2">
        <f t="shared" si="1"/>
        <v>538</v>
      </c>
      <c r="H10" s="15">
        <v>950.0</v>
      </c>
      <c r="I10" s="2">
        <v>1350.0</v>
      </c>
      <c r="J10" s="53">
        <f t="shared" si="2"/>
        <v>400</v>
      </c>
      <c r="K10" s="22">
        <f>0.8*567</f>
        <v>453.6</v>
      </c>
      <c r="L10" s="2">
        <v>2.9</v>
      </c>
      <c r="M10" s="2">
        <v>2.02</v>
      </c>
      <c r="N10" s="20">
        <f t="shared" si="3"/>
        <v>2727</v>
      </c>
      <c r="P10" s="22">
        <f t="shared" si="4"/>
        <v>1026.4</v>
      </c>
      <c r="Q10" s="20">
        <f t="shared" si="5"/>
        <v>1560.2</v>
      </c>
      <c r="R10" s="2">
        <v>21.0</v>
      </c>
      <c r="W10" s="22">
        <f t="shared" si="7"/>
        <v>689.5</v>
      </c>
      <c r="X10" s="2" t="s">
        <v>88</v>
      </c>
    </row>
    <row r="11">
      <c r="A11" s="1" t="s">
        <v>35</v>
      </c>
      <c r="B11" s="2">
        <v>214.0</v>
      </c>
      <c r="C11" s="2">
        <v>16.0</v>
      </c>
      <c r="D11" s="2">
        <v>1660.0</v>
      </c>
      <c r="E11" s="2">
        <v>198.0</v>
      </c>
      <c r="F11" s="2">
        <v>429.0</v>
      </c>
      <c r="G11" s="2">
        <f t="shared" si="1"/>
        <v>627</v>
      </c>
      <c r="H11" s="15">
        <v>1030.0</v>
      </c>
      <c r="I11" s="2">
        <v>1478.0</v>
      </c>
      <c r="J11" s="53">
        <f t="shared" si="2"/>
        <v>448</v>
      </c>
      <c r="K11" s="2">
        <v>497.0</v>
      </c>
      <c r="L11" s="2">
        <v>2.8</v>
      </c>
      <c r="M11" s="2">
        <v>1.87</v>
      </c>
      <c r="N11" s="20">
        <f t="shared" si="3"/>
        <v>2763.86</v>
      </c>
      <c r="P11" s="22">
        <f t="shared" si="4"/>
        <v>1163</v>
      </c>
      <c r="Q11" s="20">
        <f t="shared" si="5"/>
        <v>1755.6</v>
      </c>
      <c r="R11" s="2">
        <v>22.0</v>
      </c>
      <c r="W11" s="22">
        <f t="shared" si="7"/>
        <v>783.8</v>
      </c>
      <c r="X11" s="2" t="s">
        <v>88</v>
      </c>
    </row>
    <row r="12">
      <c r="A12" s="1" t="s">
        <v>37</v>
      </c>
      <c r="B12" s="2">
        <v>520.0</v>
      </c>
      <c r="C12" s="2">
        <v>106.0</v>
      </c>
      <c r="D12" s="2">
        <v>1500.0</v>
      </c>
      <c r="E12" s="2">
        <v>15.0</v>
      </c>
      <c r="F12" s="2">
        <v>386.0</v>
      </c>
      <c r="G12" s="2">
        <f t="shared" si="1"/>
        <v>401</v>
      </c>
      <c r="H12" s="15">
        <v>1100.0</v>
      </c>
      <c r="I12" s="16">
        <v>1100.0</v>
      </c>
      <c r="J12" s="55">
        <f t="shared" si="2"/>
        <v>0</v>
      </c>
      <c r="K12" s="16">
        <v>364.0</v>
      </c>
      <c r="L12" s="16">
        <v>2.8</v>
      </c>
      <c r="M12" s="16">
        <v>1.87</v>
      </c>
      <c r="N12" s="20">
        <f t="shared" si="3"/>
        <v>2057</v>
      </c>
      <c r="P12" s="22">
        <f t="shared" si="4"/>
        <v>1136</v>
      </c>
      <c r="Q12" s="20">
        <f t="shared" si="5"/>
        <v>1122.8</v>
      </c>
      <c r="R12" s="2">
        <v>20.0</v>
      </c>
      <c r="W12" s="22">
        <f t="shared" si="7"/>
        <v>846.8</v>
      </c>
      <c r="X12" s="2" t="s">
        <v>88</v>
      </c>
    </row>
    <row r="13">
      <c r="A13" s="1" t="s">
        <v>38</v>
      </c>
      <c r="B13" s="2">
        <v>1480.0</v>
      </c>
      <c r="C13" s="2">
        <v>669.0</v>
      </c>
      <c r="D13" s="2">
        <v>1350.0</v>
      </c>
      <c r="E13" s="2">
        <v>417.0</v>
      </c>
      <c r="F13" s="2">
        <v>382.0</v>
      </c>
      <c r="G13" s="2">
        <f t="shared" si="1"/>
        <v>799</v>
      </c>
      <c r="H13" s="15">
        <v>559.0</v>
      </c>
      <c r="I13" s="16">
        <v>559.0</v>
      </c>
      <c r="J13" s="55"/>
      <c r="K13" s="48">
        <f>467*0.8</f>
        <v>373.6</v>
      </c>
      <c r="L13" s="16">
        <v>2.8</v>
      </c>
      <c r="M13" s="16">
        <v>1.87</v>
      </c>
      <c r="N13" s="20">
        <f t="shared" si="3"/>
        <v>1045.33</v>
      </c>
      <c r="P13" s="22">
        <f t="shared" si="4"/>
        <v>976.4</v>
      </c>
      <c r="Q13" s="20">
        <f t="shared" si="5"/>
        <v>2237.2</v>
      </c>
    </row>
    <row r="14">
      <c r="A14" s="1" t="s">
        <v>40</v>
      </c>
      <c r="B14" s="16"/>
      <c r="C14" s="16"/>
      <c r="D14" s="16"/>
      <c r="E14" s="16"/>
      <c r="F14" s="16"/>
      <c r="H14" s="56"/>
      <c r="I14" s="16"/>
      <c r="J14" s="55"/>
      <c r="K14" s="16"/>
      <c r="L14" s="16"/>
      <c r="M14" s="16"/>
      <c r="N14" s="57"/>
      <c r="O14" s="48"/>
      <c r="P14" s="48"/>
      <c r="Q14" s="57"/>
      <c r="R14" s="48"/>
      <c r="S14" s="48"/>
    </row>
    <row r="15">
      <c r="H15" s="27"/>
      <c r="J15" s="53"/>
      <c r="N15" s="20"/>
      <c r="Q15" s="20"/>
    </row>
    <row r="16">
      <c r="H16" s="27"/>
      <c r="J16" s="53"/>
      <c r="N16" s="20"/>
      <c r="Q16" s="20"/>
    </row>
    <row r="17">
      <c r="A17" s="1" t="s">
        <v>9</v>
      </c>
      <c r="B17" s="5">
        <f t="shared" ref="B17:K17" si="8">SUM(B3:B14)</f>
        <v>10740</v>
      </c>
      <c r="C17" s="5">
        <f t="shared" si="8"/>
        <v>4782.2</v>
      </c>
      <c r="D17" s="5">
        <f t="shared" si="8"/>
        <v>13567</v>
      </c>
      <c r="E17" s="5">
        <f t="shared" si="8"/>
        <v>3952</v>
      </c>
      <c r="F17" s="5">
        <f t="shared" si="8"/>
        <v>3155</v>
      </c>
      <c r="G17" s="5">
        <f t="shared" si="8"/>
        <v>7107</v>
      </c>
      <c r="H17" s="49">
        <f t="shared" si="8"/>
        <v>6488</v>
      </c>
      <c r="I17" s="5">
        <f t="shared" si="8"/>
        <v>7857</v>
      </c>
      <c r="J17" s="58">
        <f t="shared" si="8"/>
        <v>1369</v>
      </c>
      <c r="K17" s="5">
        <f t="shared" si="8"/>
        <v>4125.2</v>
      </c>
      <c r="L17" s="5"/>
      <c r="M17" s="34"/>
      <c r="N17" s="6">
        <f>SUM(N3:N14)</f>
        <v>16497.91</v>
      </c>
      <c r="O17" s="34"/>
      <c r="P17" s="34">
        <f t="shared" ref="P17:R17" si="9">SUM(P3:P14)</f>
        <v>9441.8</v>
      </c>
      <c r="Q17" s="6">
        <f t="shared" si="9"/>
        <v>19131.51</v>
      </c>
      <c r="R17" s="6">
        <f t="shared" si="9"/>
        <v>1634</v>
      </c>
      <c r="S17" s="35">
        <f>Q17+R17</f>
        <v>20765.51</v>
      </c>
      <c r="T17" s="5"/>
      <c r="U17" s="5"/>
      <c r="V17" s="5"/>
      <c r="W17" s="5">
        <f>SUM(W3:W14)</f>
        <v>6880.609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>
      <c r="B18" s="2">
        <v>11000.0</v>
      </c>
      <c r="D18" s="2">
        <v>14500.0</v>
      </c>
      <c r="G18" s="2" t="s">
        <v>92</v>
      </c>
      <c r="H18" s="27"/>
      <c r="I18" s="2" t="s">
        <v>93</v>
      </c>
      <c r="J18" s="59" t="s">
        <v>93</v>
      </c>
      <c r="K18" s="2" t="s">
        <v>93</v>
      </c>
      <c r="L18" s="38">
        <f t="shared" ref="L18:M18" si="10">AVERAGE(L3:L12)</f>
        <v>2.703</v>
      </c>
      <c r="M18" s="38">
        <f t="shared" si="10"/>
        <v>2.3</v>
      </c>
      <c r="N18" s="3">
        <f>N17/9</f>
        <v>1833.101111</v>
      </c>
      <c r="O18" s="2"/>
      <c r="P18" s="2" t="s">
        <v>93</v>
      </c>
      <c r="Q18" s="20"/>
    </row>
    <row r="21">
      <c r="A21" s="1" t="s">
        <v>51</v>
      </c>
      <c r="B21" s="2">
        <v>155000.0</v>
      </c>
    </row>
    <row r="22">
      <c r="A22" s="1" t="s">
        <v>52</v>
      </c>
      <c r="B22" s="41">
        <f>B21/S17</f>
        <v>7.464300179</v>
      </c>
      <c r="C22" s="2" t="s">
        <v>102</v>
      </c>
    </row>
    <row r="23">
      <c r="A23" s="1" t="s">
        <v>103</v>
      </c>
      <c r="B23" s="20">
        <f>S17+(2000)+(250*1)</f>
        <v>23015.51</v>
      </c>
    </row>
    <row r="24">
      <c r="A24" s="1" t="s">
        <v>104</v>
      </c>
      <c r="B24" s="42">
        <f>B21/B23</f>
        <v>6.734588979</v>
      </c>
      <c r="C24" s="2" t="s">
        <v>102</v>
      </c>
    </row>
    <row r="26">
      <c r="A26" s="2" t="s">
        <v>72</v>
      </c>
      <c r="B26" s="42">
        <f>B21/(S17+W17)</f>
        <v>5.606573566</v>
      </c>
      <c r="C26" s="2" t="s">
        <v>102</v>
      </c>
    </row>
    <row r="29">
      <c r="A29" s="1" t="s">
        <v>73</v>
      </c>
      <c r="B29" s="22">
        <f>(B17-G17)/10</f>
        <v>363.3</v>
      </c>
      <c r="C29" s="2" t="s">
        <v>105</v>
      </c>
    </row>
    <row r="30">
      <c r="A30" s="1" t="s">
        <v>74</v>
      </c>
      <c r="B30" s="36">
        <f>B29*L18</f>
        <v>981.9999</v>
      </c>
    </row>
    <row r="33">
      <c r="A33" s="2">
        <v>28000.0</v>
      </c>
    </row>
  </sheetData>
  <conditionalFormatting sqref="J3:J14">
    <cfRule type="cellIs" dxfId="5" priority="1" operator="greaterThan">
      <formula>10</formula>
    </cfRule>
  </conditionalFormatting>
  <drawing r:id="rId1"/>
</worksheet>
</file>